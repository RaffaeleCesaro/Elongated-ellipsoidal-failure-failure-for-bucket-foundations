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https://uninadue-my.sharepoint.com/personal/raffaele_cesaro_unicampania_it/Documents/Università/PRIN/Articolo Vienna/ISSMGE Journal on Geotechnical Engineering Research/"/>
    </mc:Choice>
  </mc:AlternateContent>
  <xr:revisionPtr revIDLastSave="46" documentId="11_F25DC773A252ABDACC10487E595E50E65BDE58EC" xr6:coauthVersionLast="47" xr6:coauthVersionMax="47" xr10:uidLastSave="{DBA5D0A8-67AA-4DE8-AAFC-6A1BE13BDE9B}"/>
  <bookViews>
    <workbookView xWindow="19090" yWindow="-110" windowWidth="38620" windowHeight="21100" xr2:uid="{00000000-000D-0000-FFFF-FFFF00000000}"/>
  </bookViews>
  <sheets>
    <sheet name="Failure surfac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3" l="1"/>
  <c r="C20" i="3"/>
  <c r="C13" i="3"/>
  <c r="C11" i="3"/>
  <c r="C10" i="3"/>
  <c r="E5" i="3"/>
  <c r="F4" i="3"/>
  <c r="C12" i="3" l="1"/>
  <c r="F5" i="3"/>
  <c r="E6" i="3"/>
  <c r="C14" i="3"/>
  <c r="F6" i="3" l="1"/>
  <c r="E7" i="3"/>
  <c r="C15" i="3"/>
  <c r="C21" i="3"/>
  <c r="C22" i="3" l="1"/>
  <c r="C18" i="3"/>
  <c r="C17" i="3"/>
  <c r="F7" i="3"/>
  <c r="E8" i="3"/>
  <c r="C26" i="3" l="1"/>
  <c r="C28" i="3"/>
  <c r="F8" i="3"/>
  <c r="E9" i="3"/>
  <c r="C27" i="3" l="1"/>
  <c r="C25" i="3"/>
  <c r="F9" i="3"/>
  <c r="E10" i="3"/>
  <c r="F10" i="3" l="1"/>
  <c r="E11" i="3"/>
  <c r="F11" i="3" l="1"/>
  <c r="E12" i="3"/>
  <c r="E13" i="3" l="1"/>
  <c r="F12" i="3"/>
  <c r="E14" i="3" l="1"/>
  <c r="F13" i="3"/>
  <c r="F14" i="3" l="1"/>
  <c r="E15" i="3"/>
  <c r="E16" i="3" l="1"/>
  <c r="F15" i="3"/>
  <c r="E17" i="3" l="1"/>
  <c r="F16" i="3"/>
  <c r="F17" i="3" l="1"/>
  <c r="E18" i="3"/>
  <c r="E19" i="3" l="1"/>
  <c r="F18" i="3"/>
  <c r="F19" i="3" l="1"/>
  <c r="E20" i="3"/>
  <c r="F20" i="3" l="1"/>
  <c r="E21" i="3"/>
  <c r="F21" i="3" l="1"/>
  <c r="E22" i="3"/>
  <c r="F22" i="3" l="1"/>
  <c r="E23" i="3"/>
  <c r="F23" i="3" l="1"/>
  <c r="E24" i="3"/>
  <c r="E25" i="3" l="1"/>
  <c r="F24" i="3"/>
  <c r="F25" i="3" l="1"/>
  <c r="E26" i="3"/>
  <c r="E27" i="3" l="1"/>
  <c r="F26" i="3"/>
  <c r="E28" i="3" l="1"/>
  <c r="F27" i="3"/>
  <c r="F28" i="3" l="1"/>
  <c r="E29" i="3"/>
  <c r="F29" i="3" l="1"/>
  <c r="E30" i="3"/>
  <c r="F30" i="3" l="1"/>
  <c r="E31" i="3"/>
  <c r="F31" i="3" l="1"/>
  <c r="E32" i="3"/>
  <c r="E33" i="3" l="1"/>
  <c r="F32" i="3"/>
  <c r="F33" i="3" l="1"/>
  <c r="E34" i="3"/>
  <c r="E35" i="3" l="1"/>
  <c r="F34" i="3"/>
  <c r="E36" i="3" l="1"/>
  <c r="F35" i="3"/>
  <c r="E37" i="3" l="1"/>
  <c r="F36" i="3"/>
  <c r="F37" i="3" l="1"/>
  <c r="E38" i="3"/>
  <c r="F38" i="3" l="1"/>
  <c r="E39" i="3"/>
  <c r="E40" i="3" l="1"/>
  <c r="F39" i="3"/>
  <c r="F40" i="3" l="1"/>
  <c r="E41" i="3"/>
  <c r="F41" i="3" l="1"/>
  <c r="E42" i="3"/>
  <c r="F42" i="3" l="1"/>
  <c r="E43" i="3"/>
  <c r="F43" i="3" l="1"/>
  <c r="E44" i="3"/>
  <c r="F44" i="3" l="1"/>
  <c r="E45" i="3"/>
  <c r="F45" i="3" l="1"/>
  <c r="E46" i="3"/>
  <c r="F46" i="3" l="1"/>
  <c r="E47" i="3"/>
  <c r="F47" i="3" l="1"/>
  <c r="E48" i="3"/>
  <c r="F48" i="3" l="1"/>
  <c r="E49" i="3"/>
  <c r="F49" i="3" l="1"/>
  <c r="E50" i="3"/>
  <c r="F50" i="3" l="1"/>
  <c r="E51" i="3"/>
  <c r="F51" i="3" l="1"/>
  <c r="E52" i="3"/>
  <c r="F52" i="3" l="1"/>
  <c r="E53" i="3"/>
  <c r="F53" i="3" l="1"/>
  <c r="E54" i="3"/>
  <c r="F54" i="3" l="1"/>
  <c r="E55" i="3"/>
  <c r="F55" i="3" l="1"/>
  <c r="E56" i="3"/>
  <c r="F56" i="3" l="1"/>
  <c r="E57" i="3"/>
  <c r="F57" i="3" l="1"/>
  <c r="E58" i="3"/>
  <c r="F58" i="3" l="1"/>
  <c r="E59" i="3"/>
  <c r="F59" i="3" l="1"/>
  <c r="E60" i="3"/>
  <c r="F60" i="3" l="1"/>
  <c r="E61" i="3"/>
  <c r="F61" i="3" l="1"/>
  <c r="E62" i="3"/>
  <c r="F62" i="3" l="1"/>
  <c r="E63" i="3"/>
  <c r="F63" i="3" l="1"/>
  <c r="E64" i="3"/>
  <c r="F64" i="3" l="1"/>
  <c r="E65" i="3"/>
  <c r="F65" i="3" l="1"/>
  <c r="E66" i="3"/>
  <c r="F66" i="3" l="1"/>
  <c r="E67" i="3"/>
  <c r="F67" i="3" l="1"/>
  <c r="E68" i="3"/>
  <c r="F68" i="3" l="1"/>
  <c r="E69" i="3"/>
  <c r="F69" i="3" l="1"/>
  <c r="E70" i="3"/>
  <c r="F70" i="3" l="1"/>
  <c r="E71" i="3"/>
  <c r="F71" i="3" l="1"/>
  <c r="E72" i="3"/>
  <c r="F72" i="3" l="1"/>
  <c r="E73" i="3"/>
  <c r="F73" i="3" l="1"/>
  <c r="E74" i="3"/>
  <c r="F74" i="3" l="1"/>
  <c r="E75" i="3"/>
  <c r="F75" i="3" l="1"/>
  <c r="E76" i="3"/>
  <c r="F76" i="3" l="1"/>
  <c r="E77" i="3"/>
  <c r="F77" i="3" l="1"/>
  <c r="E78" i="3"/>
  <c r="F78" i="3" l="1"/>
  <c r="E79" i="3"/>
  <c r="F79" i="3" l="1"/>
  <c r="E80" i="3"/>
  <c r="F80" i="3" l="1"/>
  <c r="E81" i="3"/>
  <c r="F81" i="3" l="1"/>
  <c r="E82" i="3"/>
  <c r="F82" i="3" l="1"/>
  <c r="E83" i="3"/>
  <c r="F83" i="3" l="1"/>
  <c r="E84" i="3"/>
  <c r="F84" i="3" l="1"/>
  <c r="E85" i="3"/>
  <c r="F85" i="3" l="1"/>
  <c r="E86" i="3"/>
  <c r="E87" i="3" l="1"/>
  <c r="F86" i="3"/>
  <c r="F87" i="3" l="1"/>
  <c r="E88" i="3"/>
  <c r="F88" i="3" l="1"/>
  <c r="E89" i="3"/>
  <c r="F89" i="3" l="1"/>
  <c r="E90" i="3"/>
  <c r="F90" i="3" l="1"/>
  <c r="E91" i="3"/>
  <c r="F91" i="3" l="1"/>
  <c r="E92" i="3"/>
  <c r="F92" i="3" l="1"/>
  <c r="E93" i="3"/>
  <c r="E94" i="3" l="1"/>
  <c r="F93" i="3"/>
  <c r="E95" i="3" l="1"/>
  <c r="F94" i="3"/>
  <c r="E96" i="3" l="1"/>
  <c r="F95" i="3"/>
  <c r="E97" i="3" l="1"/>
  <c r="F96" i="3"/>
  <c r="E98" i="3" l="1"/>
  <c r="F97" i="3"/>
  <c r="E99" i="3" l="1"/>
  <c r="F98" i="3"/>
  <c r="F99" i="3" l="1"/>
  <c r="E100" i="3"/>
  <c r="F100" i="3" l="1"/>
  <c r="E101" i="3"/>
  <c r="E102" i="3" l="1"/>
  <c r="F101" i="3"/>
  <c r="F102" i="3" l="1"/>
  <c r="E103" i="3"/>
  <c r="F103" i="3" l="1"/>
  <c r="E104" i="3"/>
  <c r="F104" i="3" l="1"/>
  <c r="E105" i="3"/>
  <c r="F105" i="3" l="1"/>
  <c r="E106" i="3"/>
  <c r="F106" i="3" l="1"/>
  <c r="E107" i="3"/>
  <c r="F107" i="3" l="1"/>
  <c r="E108" i="3"/>
  <c r="F108" i="3" l="1"/>
  <c r="E109" i="3"/>
  <c r="F109" i="3" l="1"/>
  <c r="E110" i="3"/>
  <c r="F110" i="3" l="1"/>
  <c r="E111" i="3"/>
  <c r="F111" i="3" l="1"/>
  <c r="E112" i="3"/>
  <c r="F112" i="3" l="1"/>
  <c r="E113" i="3"/>
  <c r="F113" i="3" l="1"/>
  <c r="E114" i="3"/>
  <c r="F114" i="3" l="1"/>
  <c r="E115" i="3"/>
  <c r="F115" i="3" l="1"/>
  <c r="E116" i="3"/>
  <c r="F116" i="3" l="1"/>
  <c r="E117" i="3"/>
  <c r="F117" i="3" l="1"/>
  <c r="E118" i="3"/>
  <c r="F118" i="3" l="1"/>
  <c r="E119" i="3"/>
  <c r="F119" i="3" l="1"/>
  <c r="E120" i="3"/>
  <c r="F120" i="3" l="1"/>
  <c r="E121" i="3"/>
  <c r="F121" i="3" l="1"/>
  <c r="E122" i="3"/>
  <c r="F122" i="3" l="1"/>
  <c r="E123" i="3"/>
  <c r="F123" i="3" l="1"/>
  <c r="E124" i="3"/>
  <c r="E125" i="3" l="1"/>
  <c r="F124" i="3"/>
  <c r="E126" i="3" l="1"/>
  <c r="F125" i="3"/>
  <c r="F126" i="3" l="1"/>
  <c r="E127" i="3"/>
  <c r="F127" i="3" l="1"/>
  <c r="E128" i="3"/>
  <c r="F128" i="3" l="1"/>
  <c r="E129" i="3"/>
  <c r="F129" i="3" l="1"/>
  <c r="E130" i="3"/>
  <c r="F130" i="3" l="1"/>
  <c r="E131" i="3"/>
  <c r="F131" i="3" l="1"/>
  <c r="E132" i="3"/>
  <c r="F132" i="3" l="1"/>
  <c r="E133" i="3"/>
  <c r="F133" i="3" l="1"/>
  <c r="E134" i="3"/>
  <c r="F134" i="3" l="1"/>
  <c r="E135" i="3"/>
  <c r="F135" i="3" l="1"/>
  <c r="E136" i="3"/>
  <c r="F136" i="3" l="1"/>
  <c r="E137" i="3"/>
  <c r="F137" i="3" l="1"/>
  <c r="E138" i="3"/>
  <c r="F138" i="3" l="1"/>
  <c r="E139" i="3"/>
  <c r="F139" i="3" l="1"/>
  <c r="E140" i="3"/>
  <c r="F140" i="3" l="1"/>
  <c r="E141" i="3"/>
  <c r="F141" i="3" l="1"/>
  <c r="E142" i="3"/>
  <c r="F142" i="3" l="1"/>
  <c r="E143" i="3"/>
  <c r="F143" i="3" l="1"/>
  <c r="E144" i="3"/>
  <c r="F144" i="3" l="1"/>
  <c r="E145" i="3"/>
  <c r="F145" i="3" l="1"/>
  <c r="E146" i="3"/>
  <c r="F146" i="3" l="1"/>
  <c r="E147" i="3"/>
  <c r="F147" i="3" l="1"/>
  <c r="E148" i="3"/>
  <c r="F148" i="3" l="1"/>
  <c r="E149" i="3"/>
  <c r="F149" i="3" l="1"/>
  <c r="E150" i="3"/>
  <c r="F150" i="3" l="1"/>
  <c r="E151" i="3"/>
  <c r="F151" i="3" l="1"/>
  <c r="E152" i="3"/>
  <c r="F152" i="3" l="1"/>
  <c r="E153" i="3"/>
  <c r="F153" i="3" l="1"/>
  <c r="E154" i="3"/>
  <c r="F154" i="3" l="1"/>
  <c r="E155" i="3"/>
  <c r="F155" i="3" l="1"/>
  <c r="E156" i="3"/>
  <c r="F156" i="3" l="1"/>
  <c r="E157" i="3"/>
  <c r="F157" i="3" l="1"/>
  <c r="E158" i="3"/>
  <c r="F158" i="3" l="1"/>
  <c r="E159" i="3"/>
  <c r="F159" i="3" l="1"/>
  <c r="E160" i="3"/>
  <c r="F160" i="3" l="1"/>
  <c r="E161" i="3"/>
  <c r="F161" i="3" l="1"/>
  <c r="E162" i="3"/>
  <c r="F162" i="3" l="1"/>
  <c r="E163" i="3"/>
  <c r="F163" i="3" l="1"/>
  <c r="E164" i="3"/>
  <c r="F164" i="3" l="1"/>
  <c r="E165" i="3"/>
  <c r="F165" i="3" l="1"/>
  <c r="E166" i="3"/>
  <c r="F166" i="3" l="1"/>
  <c r="E167" i="3"/>
  <c r="F167" i="3" l="1"/>
  <c r="E168" i="3"/>
  <c r="F168" i="3" l="1"/>
  <c r="E169" i="3"/>
  <c r="F169" i="3" l="1"/>
  <c r="E170" i="3"/>
  <c r="F170" i="3" l="1"/>
  <c r="E171" i="3"/>
  <c r="F171" i="3" l="1"/>
  <c r="E172" i="3"/>
  <c r="F172" i="3" l="1"/>
  <c r="E173" i="3"/>
  <c r="E174" i="3" l="1"/>
  <c r="F173" i="3"/>
  <c r="F174" i="3" l="1"/>
  <c r="E175" i="3"/>
  <c r="E176" i="3" l="1"/>
  <c r="F175" i="3"/>
  <c r="F176" i="3" l="1"/>
  <c r="E177" i="3"/>
  <c r="F177" i="3" l="1"/>
  <c r="E178" i="3"/>
  <c r="F178" i="3" l="1"/>
  <c r="E179" i="3"/>
  <c r="F179" i="3" l="1"/>
  <c r="E180" i="3"/>
  <c r="F180" i="3" l="1"/>
  <c r="E181" i="3"/>
  <c r="F181" i="3" l="1"/>
  <c r="E182" i="3"/>
  <c r="F182" i="3" l="1"/>
  <c r="E183" i="3"/>
  <c r="F183" i="3" l="1"/>
  <c r="E184" i="3"/>
  <c r="F184" i="3" l="1"/>
  <c r="E185" i="3"/>
  <c r="F185" i="3" l="1"/>
  <c r="E186" i="3"/>
  <c r="F186" i="3" l="1"/>
  <c r="E187" i="3"/>
  <c r="F187" i="3" l="1"/>
  <c r="E188" i="3"/>
  <c r="F188" i="3" l="1"/>
  <c r="E189" i="3"/>
  <c r="F189" i="3" l="1"/>
  <c r="E190" i="3"/>
  <c r="F190" i="3" l="1"/>
  <c r="E191" i="3"/>
  <c r="F191" i="3" l="1"/>
  <c r="E192" i="3"/>
  <c r="F192" i="3" l="1"/>
  <c r="E193" i="3"/>
  <c r="F193" i="3" l="1"/>
  <c r="E194" i="3"/>
  <c r="F194" i="3" l="1"/>
  <c r="E195" i="3"/>
  <c r="F195" i="3" l="1"/>
  <c r="E196" i="3"/>
  <c r="F196" i="3" l="1"/>
  <c r="E197" i="3"/>
  <c r="F197" i="3" l="1"/>
  <c r="E198" i="3"/>
  <c r="F198" i="3" l="1"/>
  <c r="E199" i="3"/>
  <c r="F199" i="3" l="1"/>
  <c r="E200" i="3"/>
  <c r="F200" i="3" l="1"/>
  <c r="E201" i="3"/>
  <c r="F201" i="3" l="1"/>
  <c r="E202" i="3"/>
  <c r="F202" i="3" l="1"/>
  <c r="E203" i="3"/>
  <c r="F203" i="3" l="1"/>
  <c r="E204" i="3"/>
  <c r="F204" i="3" l="1"/>
  <c r="E205" i="3"/>
  <c r="F205" i="3" l="1"/>
  <c r="E206" i="3"/>
  <c r="F206" i="3" l="1"/>
  <c r="E207" i="3"/>
  <c r="F207" i="3" l="1"/>
  <c r="E208" i="3"/>
  <c r="F208" i="3" l="1"/>
  <c r="E209" i="3"/>
  <c r="F209" i="3" l="1"/>
  <c r="E210" i="3"/>
  <c r="F210" i="3" l="1"/>
  <c r="E211" i="3"/>
  <c r="F211" i="3" l="1"/>
  <c r="E212" i="3"/>
  <c r="F212" i="3" l="1"/>
  <c r="E213" i="3"/>
  <c r="F213" i="3" l="1"/>
  <c r="E214" i="3"/>
  <c r="F214" i="3" l="1"/>
  <c r="E215" i="3"/>
  <c r="F215" i="3" l="1"/>
  <c r="E216" i="3"/>
  <c r="F216" i="3" l="1"/>
  <c r="E217" i="3"/>
  <c r="F217" i="3" l="1"/>
  <c r="E218" i="3"/>
  <c r="F218" i="3" l="1"/>
  <c r="E219" i="3"/>
  <c r="F219" i="3" l="1"/>
  <c r="E220" i="3"/>
  <c r="F220" i="3" l="1"/>
  <c r="E221" i="3"/>
  <c r="F221" i="3" l="1"/>
  <c r="E222" i="3"/>
  <c r="F222" i="3" l="1"/>
  <c r="E223" i="3"/>
  <c r="F223" i="3" l="1"/>
  <c r="E224" i="3"/>
  <c r="F224" i="3" l="1"/>
  <c r="E225" i="3"/>
  <c r="F225" i="3" l="1"/>
  <c r="E226" i="3"/>
  <c r="F226" i="3" l="1"/>
  <c r="E227" i="3"/>
  <c r="F227" i="3" l="1"/>
  <c r="E228" i="3"/>
  <c r="F228" i="3" l="1"/>
  <c r="E229" i="3"/>
  <c r="F229" i="3" l="1"/>
  <c r="E230" i="3"/>
  <c r="F230" i="3" l="1"/>
  <c r="E231" i="3"/>
  <c r="F231" i="3" l="1"/>
  <c r="E232" i="3"/>
  <c r="F232" i="3" l="1"/>
  <c r="E233" i="3"/>
  <c r="F233" i="3" l="1"/>
  <c r="E234" i="3"/>
  <c r="F234" i="3" l="1"/>
  <c r="E235" i="3"/>
  <c r="F235" i="3" l="1"/>
  <c r="E236" i="3"/>
  <c r="F236" i="3" l="1"/>
  <c r="E237" i="3"/>
  <c r="F237" i="3" l="1"/>
  <c r="E238" i="3"/>
  <c r="F238" i="3" l="1"/>
  <c r="E239" i="3"/>
  <c r="F239" i="3" l="1"/>
  <c r="E240" i="3"/>
  <c r="F240" i="3" l="1"/>
  <c r="E241" i="3"/>
  <c r="F241" i="3" l="1"/>
  <c r="E242" i="3"/>
  <c r="F242" i="3" l="1"/>
  <c r="E243" i="3"/>
  <c r="F243" i="3" l="1"/>
  <c r="E244" i="3"/>
  <c r="F244" i="3" l="1"/>
  <c r="E245" i="3"/>
  <c r="F245" i="3" l="1"/>
  <c r="E246" i="3"/>
  <c r="F246" i="3" l="1"/>
  <c r="E247" i="3"/>
  <c r="F247" i="3" l="1"/>
  <c r="E248" i="3"/>
  <c r="F248" i="3" l="1"/>
  <c r="E249" i="3"/>
  <c r="F249" i="3" l="1"/>
  <c r="E250" i="3"/>
  <c r="F250" i="3" l="1"/>
  <c r="E251" i="3"/>
  <c r="F251" i="3" l="1"/>
  <c r="E252" i="3"/>
  <c r="F252" i="3" l="1"/>
  <c r="E253" i="3"/>
  <c r="F253" i="3" l="1"/>
  <c r="E254" i="3"/>
  <c r="F254" i="3" l="1"/>
  <c r="E255" i="3"/>
  <c r="F255" i="3" l="1"/>
  <c r="E256" i="3"/>
  <c r="F256" i="3" l="1"/>
  <c r="E257" i="3"/>
  <c r="F257" i="3" l="1"/>
  <c r="E258" i="3"/>
  <c r="F258" i="3" l="1"/>
  <c r="E259" i="3"/>
  <c r="F259" i="3" l="1"/>
  <c r="E260" i="3"/>
  <c r="F260" i="3" l="1"/>
  <c r="E261" i="3"/>
  <c r="F261" i="3" l="1"/>
  <c r="E262" i="3"/>
  <c r="F262" i="3" l="1"/>
  <c r="E263" i="3"/>
  <c r="F263" i="3" l="1"/>
  <c r="E264" i="3"/>
  <c r="F264" i="3" l="1"/>
  <c r="E265" i="3"/>
  <c r="F265" i="3" l="1"/>
  <c r="E266" i="3"/>
  <c r="F266" i="3" l="1"/>
  <c r="E267" i="3"/>
  <c r="F267" i="3" l="1"/>
  <c r="E268" i="3"/>
  <c r="F268" i="3" l="1"/>
  <c r="E269" i="3"/>
  <c r="F269" i="3" l="1"/>
  <c r="E270" i="3"/>
  <c r="E271" i="3" l="1"/>
  <c r="F270" i="3"/>
  <c r="E272" i="3" l="1"/>
  <c r="F271" i="3"/>
  <c r="E273" i="3" l="1"/>
  <c r="F272" i="3"/>
  <c r="E274" i="3" l="1"/>
  <c r="F273" i="3"/>
  <c r="F274" i="3" l="1"/>
  <c r="E275" i="3"/>
  <c r="F275" i="3" l="1"/>
  <c r="E276" i="3"/>
  <c r="F276" i="3" l="1"/>
  <c r="E277" i="3"/>
  <c r="F277" i="3" l="1"/>
  <c r="E278" i="3"/>
  <c r="F278" i="3" l="1"/>
  <c r="E279" i="3"/>
  <c r="F279" i="3" l="1"/>
  <c r="E280" i="3"/>
  <c r="F280" i="3" l="1"/>
  <c r="E281" i="3"/>
  <c r="F281" i="3" l="1"/>
  <c r="E282" i="3"/>
  <c r="F282" i="3" l="1"/>
  <c r="E283" i="3"/>
  <c r="F283" i="3" l="1"/>
  <c r="E284" i="3"/>
  <c r="F284" i="3" l="1"/>
  <c r="E285" i="3"/>
  <c r="F285" i="3" l="1"/>
  <c r="E286" i="3"/>
  <c r="F286" i="3" l="1"/>
  <c r="E287" i="3"/>
  <c r="F287" i="3" l="1"/>
  <c r="E288" i="3"/>
  <c r="F288" i="3" l="1"/>
  <c r="E289" i="3"/>
  <c r="F289" i="3" l="1"/>
  <c r="E290" i="3"/>
  <c r="F290" i="3" l="1"/>
  <c r="E291" i="3"/>
  <c r="F291" i="3" l="1"/>
  <c r="E292" i="3"/>
  <c r="F292" i="3" l="1"/>
  <c r="E293" i="3"/>
  <c r="F293" i="3" l="1"/>
  <c r="E294" i="3"/>
  <c r="F294" i="3" l="1"/>
  <c r="E295" i="3"/>
  <c r="F295" i="3" l="1"/>
  <c r="E296" i="3"/>
  <c r="F296" i="3" l="1"/>
  <c r="E297" i="3"/>
  <c r="F297" i="3" l="1"/>
  <c r="E298" i="3"/>
  <c r="F298" i="3" l="1"/>
  <c r="E299" i="3"/>
  <c r="F299" i="3" l="1"/>
  <c r="E300" i="3"/>
  <c r="F300" i="3" l="1"/>
  <c r="E301" i="3"/>
  <c r="F301" i="3" l="1"/>
  <c r="E302" i="3"/>
  <c r="F302" i="3" l="1"/>
  <c r="E303" i="3"/>
  <c r="F303" i="3" l="1"/>
  <c r="E304" i="3"/>
  <c r="F304" i="3" l="1"/>
  <c r="E305" i="3"/>
  <c r="F305" i="3" l="1"/>
  <c r="E306" i="3"/>
  <c r="F306" i="3" l="1"/>
  <c r="E307" i="3"/>
  <c r="F307" i="3" l="1"/>
  <c r="E308" i="3"/>
  <c r="F308" i="3" l="1"/>
  <c r="E309" i="3"/>
  <c r="F309" i="3" l="1"/>
  <c r="E310" i="3"/>
  <c r="F310" i="3" l="1"/>
  <c r="E311" i="3"/>
  <c r="F311" i="3" l="1"/>
  <c r="E312" i="3"/>
  <c r="F312" i="3" l="1"/>
  <c r="E313" i="3"/>
  <c r="F313" i="3" l="1"/>
  <c r="E314" i="3"/>
  <c r="F314" i="3" l="1"/>
  <c r="E315" i="3"/>
  <c r="F315" i="3" l="1"/>
  <c r="E316" i="3"/>
  <c r="F316" i="3" l="1"/>
  <c r="E317" i="3"/>
  <c r="F317" i="3" l="1"/>
  <c r="E318" i="3"/>
  <c r="F318" i="3" l="1"/>
  <c r="E319" i="3"/>
  <c r="F319" i="3" l="1"/>
  <c r="E320" i="3"/>
  <c r="F320" i="3" l="1"/>
  <c r="E321" i="3"/>
  <c r="F321" i="3" l="1"/>
  <c r="E322" i="3"/>
  <c r="F322" i="3" l="1"/>
  <c r="E323" i="3"/>
  <c r="F323" i="3" l="1"/>
  <c r="E324" i="3"/>
  <c r="F324" i="3" l="1"/>
  <c r="E325" i="3"/>
  <c r="F325" i="3" l="1"/>
  <c r="E326" i="3"/>
  <c r="F326" i="3" l="1"/>
  <c r="E327" i="3"/>
  <c r="F327" i="3" l="1"/>
  <c r="E328" i="3"/>
  <c r="F328" i="3" l="1"/>
  <c r="E329" i="3"/>
  <c r="F329" i="3" l="1"/>
  <c r="E330" i="3"/>
  <c r="F330" i="3" l="1"/>
  <c r="E331" i="3"/>
  <c r="F331" i="3" l="1"/>
  <c r="E332" i="3"/>
  <c r="F332" i="3" l="1"/>
  <c r="E333" i="3"/>
  <c r="F333" i="3" l="1"/>
  <c r="E334" i="3"/>
  <c r="F334" i="3" l="1"/>
  <c r="E335" i="3"/>
  <c r="F335" i="3" l="1"/>
  <c r="E336" i="3"/>
  <c r="F336" i="3" l="1"/>
  <c r="E337" i="3"/>
  <c r="F337" i="3" l="1"/>
  <c r="E338" i="3"/>
  <c r="F338" i="3" l="1"/>
  <c r="E339" i="3"/>
  <c r="F339" i="3" l="1"/>
  <c r="E340" i="3"/>
  <c r="F340" i="3" l="1"/>
  <c r="E341" i="3"/>
  <c r="F341" i="3" l="1"/>
  <c r="E342" i="3"/>
  <c r="F342" i="3" l="1"/>
  <c r="E343" i="3"/>
  <c r="F343" i="3" l="1"/>
  <c r="E344" i="3"/>
  <c r="F344" i="3" l="1"/>
  <c r="E345" i="3"/>
  <c r="F345" i="3" l="1"/>
  <c r="E346" i="3"/>
  <c r="F346" i="3" l="1"/>
  <c r="E347" i="3"/>
  <c r="F347" i="3" l="1"/>
  <c r="E348" i="3"/>
  <c r="F348" i="3" l="1"/>
  <c r="E349" i="3"/>
  <c r="F349" i="3" l="1"/>
  <c r="E350" i="3"/>
  <c r="F350" i="3" l="1"/>
  <c r="E351" i="3"/>
  <c r="F351" i="3" l="1"/>
  <c r="E352" i="3"/>
  <c r="F352" i="3" l="1"/>
  <c r="E353" i="3"/>
  <c r="F353" i="3" l="1"/>
  <c r="E354" i="3"/>
  <c r="F354" i="3" l="1"/>
  <c r="E355" i="3"/>
  <c r="F355" i="3" l="1"/>
  <c r="E356" i="3"/>
  <c r="F356" i="3" l="1"/>
  <c r="E357" i="3"/>
  <c r="F357" i="3" l="1"/>
  <c r="E358" i="3"/>
  <c r="F358" i="3" l="1"/>
  <c r="E359" i="3"/>
  <c r="F359" i="3" l="1"/>
  <c r="E360" i="3"/>
  <c r="F360" i="3" l="1"/>
  <c r="E361" i="3"/>
  <c r="F361" i="3" l="1"/>
  <c r="E362" i="3"/>
  <c r="F362" i="3" l="1"/>
  <c r="E363" i="3"/>
  <c r="F363" i="3" l="1"/>
  <c r="E364" i="3"/>
  <c r="F364" i="3" s="1"/>
  <c r="C29" i="3" l="1"/>
  <c r="H275" i="3" l="1"/>
  <c r="G15" i="3"/>
  <c r="G143" i="3"/>
  <c r="H176" i="3"/>
  <c r="H312" i="3"/>
  <c r="G199" i="3"/>
  <c r="G55" i="3"/>
  <c r="H310" i="3"/>
  <c r="G5" i="3"/>
  <c r="G236" i="3"/>
  <c r="H280" i="3"/>
  <c r="H171" i="3"/>
  <c r="G220" i="3"/>
  <c r="G247" i="3"/>
  <c r="G150" i="3"/>
  <c r="H135" i="3"/>
  <c r="G76" i="3"/>
  <c r="H127" i="3"/>
  <c r="G58" i="3"/>
  <c r="G25" i="3"/>
  <c r="G226" i="3"/>
  <c r="H20" i="3"/>
  <c r="H334" i="3"/>
  <c r="H250" i="3"/>
  <c r="H180" i="3"/>
  <c r="G249" i="3"/>
  <c r="H233" i="3"/>
  <c r="H314" i="3"/>
  <c r="H255" i="3"/>
  <c r="H243" i="3"/>
  <c r="G140" i="3"/>
  <c r="H291" i="3"/>
  <c r="H78" i="3"/>
  <c r="H252" i="3"/>
  <c r="H268" i="3"/>
  <c r="G64" i="3"/>
  <c r="G71" i="3"/>
  <c r="G73" i="3"/>
  <c r="G80" i="3"/>
  <c r="G157" i="3"/>
  <c r="H342" i="3"/>
  <c r="G119" i="3"/>
  <c r="H296" i="3"/>
  <c r="G248" i="3"/>
  <c r="H235" i="3"/>
  <c r="G297" i="3"/>
  <c r="H112" i="3"/>
  <c r="H124" i="3"/>
  <c r="G209" i="3"/>
  <c r="H337" i="3"/>
  <c r="G39" i="3"/>
  <c r="H76" i="3"/>
  <c r="G270" i="3"/>
  <c r="H114" i="3"/>
  <c r="G54" i="3"/>
  <c r="G147" i="3"/>
  <c r="G334" i="3"/>
  <c r="H209" i="3"/>
  <c r="H231" i="3"/>
  <c r="G214" i="3"/>
  <c r="H100" i="3"/>
  <c r="H154" i="3"/>
  <c r="G9" i="3"/>
  <c r="H77" i="3"/>
  <c r="H17" i="3"/>
  <c r="H134" i="3"/>
  <c r="G299" i="3"/>
  <c r="H306" i="3"/>
  <c r="G165" i="3"/>
  <c r="G223" i="3"/>
  <c r="G197" i="3"/>
  <c r="H336" i="3"/>
  <c r="H25" i="3"/>
  <c r="H272" i="3"/>
  <c r="G125" i="3"/>
  <c r="G325" i="3"/>
  <c r="G253" i="3"/>
  <c r="H355" i="3"/>
  <c r="H223" i="3"/>
  <c r="H34" i="3"/>
  <c r="G122" i="3"/>
  <c r="H302" i="3"/>
  <c r="H326" i="3"/>
  <c r="G258" i="3"/>
  <c r="H54" i="3"/>
  <c r="G152" i="3"/>
  <c r="H276" i="3"/>
  <c r="H160" i="3"/>
  <c r="G360" i="3"/>
  <c r="H177" i="3"/>
  <c r="H244" i="3"/>
  <c r="H327" i="3"/>
  <c r="H6" i="3"/>
  <c r="H84" i="3"/>
  <c r="G26" i="3"/>
  <c r="H164" i="3"/>
  <c r="G211" i="3"/>
  <c r="H192" i="3"/>
  <c r="G37" i="3"/>
  <c r="G266" i="3"/>
  <c r="G120" i="3"/>
  <c r="H18" i="3"/>
  <c r="G189" i="3"/>
  <c r="H232" i="3"/>
  <c r="G99" i="3"/>
  <c r="G114" i="3"/>
  <c r="H229" i="3"/>
  <c r="G224" i="3"/>
  <c r="H330" i="3"/>
  <c r="G273" i="3"/>
  <c r="G57" i="3"/>
  <c r="G173" i="3"/>
  <c r="H11" i="3"/>
  <c r="G361" i="3"/>
  <c r="H262" i="3"/>
  <c r="G148" i="3"/>
  <c r="G136" i="3"/>
  <c r="H60" i="3"/>
  <c r="H159" i="3"/>
  <c r="G356" i="3"/>
  <c r="G196" i="3"/>
  <c r="G108" i="3"/>
  <c r="G12" i="3"/>
  <c r="I12" i="3" s="1"/>
  <c r="H288" i="3"/>
  <c r="H153" i="3"/>
  <c r="G314" i="3"/>
  <c r="G68" i="3"/>
  <c r="G42" i="3"/>
  <c r="H145" i="3"/>
  <c r="G338" i="3"/>
  <c r="H362" i="3"/>
  <c r="G112" i="3"/>
  <c r="H200" i="3"/>
  <c r="H202" i="3"/>
  <c r="G257" i="3"/>
  <c r="H188" i="3"/>
  <c r="G155" i="3"/>
  <c r="H273" i="3"/>
  <c r="H108" i="3"/>
  <c r="G302" i="3"/>
  <c r="I302" i="3" s="1"/>
  <c r="G319" i="3"/>
  <c r="H360" i="3"/>
  <c r="H29" i="3"/>
  <c r="G169" i="3"/>
  <c r="G227" i="3"/>
  <c r="G27" i="3"/>
  <c r="H104" i="3"/>
  <c r="G141" i="3"/>
  <c r="H31" i="3"/>
  <c r="H21" i="3"/>
  <c r="G66" i="3"/>
  <c r="H308" i="3"/>
  <c r="G288" i="3"/>
  <c r="H195" i="3"/>
  <c r="H249" i="3"/>
  <c r="G305" i="3"/>
  <c r="G336" i="3"/>
  <c r="H184" i="3"/>
  <c r="G345" i="3"/>
  <c r="H22" i="3"/>
  <c r="H284" i="3"/>
  <c r="G256" i="3"/>
  <c r="H301" i="3"/>
  <c r="G234" i="3"/>
  <c r="G353" i="3"/>
  <c r="H323" i="3"/>
  <c r="H321" i="3"/>
  <c r="G52" i="3"/>
  <c r="G83" i="3"/>
  <c r="H97" i="3"/>
  <c r="G49" i="3"/>
  <c r="G17" i="3"/>
  <c r="H41" i="3"/>
  <c r="H204" i="3"/>
  <c r="H193" i="3"/>
  <c r="H263" i="3"/>
  <c r="G131" i="3"/>
  <c r="G225" i="3"/>
  <c r="G133" i="3"/>
  <c r="H338" i="3"/>
  <c r="G357" i="3"/>
  <c r="H320" i="3"/>
  <c r="H125" i="3"/>
  <c r="G259" i="3"/>
  <c r="G362" i="3"/>
  <c r="H215" i="3"/>
  <c r="G317" i="3"/>
  <c r="G244" i="3"/>
  <c r="H324" i="3"/>
  <c r="G206" i="3"/>
  <c r="H72" i="3"/>
  <c r="G151" i="3"/>
  <c r="G156" i="3"/>
  <c r="G117" i="3"/>
  <c r="H158" i="3"/>
  <c r="G333" i="3"/>
  <c r="G50" i="3"/>
  <c r="H305" i="3"/>
  <c r="H23" i="3"/>
  <c r="H170" i="3"/>
  <c r="H187" i="3"/>
  <c r="H174" i="3"/>
  <c r="H102" i="3"/>
  <c r="G14" i="3"/>
  <c r="G207" i="3"/>
  <c r="G216" i="3"/>
  <c r="H343" i="3"/>
  <c r="G69" i="3"/>
  <c r="H333" i="3"/>
  <c r="G118" i="3"/>
  <c r="G235" i="3"/>
  <c r="H163" i="3"/>
  <c r="H133" i="3"/>
  <c r="H197" i="3"/>
  <c r="H53" i="3"/>
  <c r="G72" i="3"/>
  <c r="G46" i="3"/>
  <c r="H35" i="3"/>
  <c r="G287" i="3"/>
  <c r="H147" i="3"/>
  <c r="H151" i="3"/>
  <c r="H213" i="3"/>
  <c r="H236" i="3"/>
  <c r="H353" i="3"/>
  <c r="H148" i="3"/>
  <c r="H329" i="3"/>
  <c r="H210" i="3"/>
  <c r="H123" i="3"/>
  <c r="H363" i="3"/>
  <c r="H361" i="3"/>
  <c r="H57" i="3"/>
  <c r="G144" i="3"/>
  <c r="H52" i="3"/>
  <c r="G242" i="3"/>
  <c r="G265" i="3"/>
  <c r="H62" i="3"/>
  <c r="H165" i="3"/>
  <c r="H91" i="3"/>
  <c r="G342" i="3"/>
  <c r="H194" i="3"/>
  <c r="H331" i="3"/>
  <c r="G355" i="3"/>
  <c r="H27" i="3"/>
  <c r="G84" i="3"/>
  <c r="H94" i="3"/>
  <c r="G260" i="3"/>
  <c r="H155" i="3"/>
  <c r="G262" i="3"/>
  <c r="H46" i="3"/>
  <c r="H175" i="3"/>
  <c r="G59" i="3"/>
  <c r="H351" i="3"/>
  <c r="H37" i="3"/>
  <c r="H251" i="3"/>
  <c r="H82" i="3"/>
  <c r="G344" i="3"/>
  <c r="G85" i="3"/>
  <c r="G87" i="3"/>
  <c r="H117" i="3"/>
  <c r="H238" i="3"/>
  <c r="G277" i="3"/>
  <c r="H30" i="3"/>
  <c r="G208" i="3"/>
  <c r="H81" i="3"/>
  <c r="G82" i="3"/>
  <c r="G213" i="3"/>
  <c r="H69" i="3"/>
  <c r="G286" i="3"/>
  <c r="G153" i="3"/>
  <c r="H40" i="3"/>
  <c r="H96" i="3"/>
  <c r="H358" i="3"/>
  <c r="H318" i="3"/>
  <c r="H111" i="3"/>
  <c r="H264" i="3"/>
  <c r="G128" i="3"/>
  <c r="H12" i="3"/>
  <c r="G56" i="3"/>
  <c r="H266" i="3"/>
  <c r="G318" i="3"/>
  <c r="I318" i="3" s="1"/>
  <c r="H140" i="3"/>
  <c r="H316" i="3"/>
  <c r="H150" i="3"/>
  <c r="H260" i="3"/>
  <c r="H230" i="3"/>
  <c r="G203" i="3"/>
  <c r="H225" i="3"/>
  <c r="G30" i="3"/>
  <c r="G62" i="3"/>
  <c r="G40" i="3"/>
  <c r="H5" i="3"/>
  <c r="H298" i="3"/>
  <c r="H28" i="3"/>
  <c r="G321" i="3"/>
  <c r="H86" i="3"/>
  <c r="G16" i="3"/>
  <c r="G106" i="3"/>
  <c r="G7" i="3"/>
  <c r="G358" i="3"/>
  <c r="H313" i="3"/>
  <c r="H228" i="3"/>
  <c r="G217" i="3"/>
  <c r="H162" i="3"/>
  <c r="G228" i="3"/>
  <c r="H173" i="3"/>
  <c r="G180" i="3"/>
  <c r="H341" i="3"/>
  <c r="H237" i="3"/>
  <c r="G264" i="3"/>
  <c r="G61" i="3"/>
  <c r="H322" i="3"/>
  <c r="H139" i="3"/>
  <c r="G171" i="3"/>
  <c r="H120" i="3"/>
  <c r="G20" i="3"/>
  <c r="H74" i="3"/>
  <c r="H191" i="3"/>
  <c r="G65" i="3"/>
  <c r="H348" i="3"/>
  <c r="G301" i="3"/>
  <c r="G343" i="3"/>
  <c r="G138" i="3"/>
  <c r="G328" i="3"/>
  <c r="G160" i="3"/>
  <c r="H131" i="3"/>
  <c r="H107" i="3"/>
  <c r="H340" i="3"/>
  <c r="H283" i="3"/>
  <c r="G8" i="3"/>
  <c r="I8" i="3" s="1"/>
  <c r="G178" i="3"/>
  <c r="I178" i="3" s="1"/>
  <c r="H279" i="3"/>
  <c r="G263" i="3"/>
  <c r="H359" i="3"/>
  <c r="G204" i="3"/>
  <c r="G330" i="3"/>
  <c r="G218" i="3"/>
  <c r="H205" i="3"/>
  <c r="G123" i="3"/>
  <c r="G335" i="3"/>
  <c r="H71" i="3"/>
  <c r="H300" i="3"/>
  <c r="G36" i="3"/>
  <c r="G285" i="3"/>
  <c r="G81" i="3"/>
  <c r="G231" i="3"/>
  <c r="H295" i="3"/>
  <c r="G194" i="3"/>
  <c r="G29" i="3"/>
  <c r="H253" i="3"/>
  <c r="H156" i="3"/>
  <c r="H44" i="3"/>
  <c r="G163" i="3"/>
  <c r="H185" i="3"/>
  <c r="G351" i="3"/>
  <c r="H166" i="3"/>
  <c r="H70" i="3"/>
  <c r="H36" i="3"/>
  <c r="H115" i="3"/>
  <c r="H58" i="3"/>
  <c r="G121" i="3"/>
  <c r="H113" i="3"/>
  <c r="H110" i="3"/>
  <c r="H201" i="3"/>
  <c r="G47" i="3"/>
  <c r="G53" i="3"/>
  <c r="H224" i="3"/>
  <c r="G232" i="3"/>
  <c r="G202" i="3"/>
  <c r="I202" i="3" s="1"/>
  <c r="H246" i="3"/>
  <c r="H354" i="3"/>
  <c r="G170" i="3"/>
  <c r="H217" i="3"/>
  <c r="G185" i="3"/>
  <c r="G78" i="3"/>
  <c r="G146" i="3"/>
  <c r="H350" i="3"/>
  <c r="H9" i="3"/>
  <c r="H294" i="3"/>
  <c r="G267" i="3"/>
  <c r="H267" i="3"/>
  <c r="G77" i="3"/>
  <c r="G32" i="3"/>
  <c r="G190" i="3"/>
  <c r="I190" i="3" s="1"/>
  <c r="H221" i="3"/>
  <c r="H14" i="3"/>
  <c r="H157" i="3"/>
  <c r="G135" i="3"/>
  <c r="H172" i="3"/>
  <c r="G93" i="3"/>
  <c r="G349" i="3"/>
  <c r="H285" i="3"/>
  <c r="H311" i="3"/>
  <c r="G102" i="3"/>
  <c r="G237" i="3"/>
  <c r="H89" i="3"/>
  <c r="H240" i="3"/>
  <c r="H352" i="3"/>
  <c r="H128" i="3"/>
  <c r="G245" i="3"/>
  <c r="G161" i="3"/>
  <c r="H219" i="3"/>
  <c r="H66" i="3"/>
  <c r="G320" i="3"/>
  <c r="H126" i="3"/>
  <c r="H136" i="3"/>
  <c r="H282" i="3"/>
  <c r="H364" i="3"/>
  <c r="H289" i="3"/>
  <c r="G11" i="3"/>
  <c r="H183" i="3"/>
  <c r="G359" i="3"/>
  <c r="H281" i="3"/>
  <c r="G137" i="3"/>
  <c r="H109" i="3"/>
  <c r="G271" i="3"/>
  <c r="G70" i="3"/>
  <c r="H227" i="3"/>
  <c r="G60" i="3"/>
  <c r="H116" i="3"/>
  <c r="G252" i="3"/>
  <c r="H257" i="3"/>
  <c r="G145" i="3"/>
  <c r="G124" i="3"/>
  <c r="G195" i="3"/>
  <c r="G324" i="3"/>
  <c r="H265" i="3"/>
  <c r="H190" i="3"/>
  <c r="G28" i="3"/>
  <c r="H216" i="3"/>
  <c r="H208" i="3"/>
  <c r="G24" i="3"/>
  <c r="H105" i="3"/>
  <c r="G304" i="3"/>
  <c r="G210" i="3"/>
  <c r="G298" i="3"/>
  <c r="G322" i="3"/>
  <c r="H198" i="3"/>
  <c r="G184" i="3"/>
  <c r="G74" i="3"/>
  <c r="H59" i="3"/>
  <c r="H168" i="3"/>
  <c r="G363" i="3"/>
  <c r="H303" i="3"/>
  <c r="H132" i="3"/>
  <c r="G307" i="3"/>
  <c r="G154" i="3"/>
  <c r="H137" i="3"/>
  <c r="H144" i="3"/>
  <c r="G110" i="3"/>
  <c r="H222" i="3"/>
  <c r="G215" i="3"/>
  <c r="H121" i="3"/>
  <c r="G188" i="3"/>
  <c r="G51" i="3"/>
  <c r="H207" i="3"/>
  <c r="H319" i="3"/>
  <c r="H142" i="3"/>
  <c r="H214" i="3"/>
  <c r="H122" i="3"/>
  <c r="G67" i="3"/>
  <c r="G166" i="3"/>
  <c r="H63" i="3"/>
  <c r="H101" i="3"/>
  <c r="H130" i="3"/>
  <c r="G134" i="3"/>
  <c r="H292" i="3"/>
  <c r="G212" i="3"/>
  <c r="G311" i="3"/>
  <c r="G23" i="3"/>
  <c r="H169" i="3"/>
  <c r="H199" i="3"/>
  <c r="H64" i="3"/>
  <c r="G221" i="3"/>
  <c r="G182" i="3"/>
  <c r="G101" i="3"/>
  <c r="H68" i="3"/>
  <c r="H143" i="3"/>
  <c r="H55" i="3"/>
  <c r="H259" i="3"/>
  <c r="G105" i="3"/>
  <c r="G292" i="3"/>
  <c r="G268" i="3"/>
  <c r="H218" i="3"/>
  <c r="H129" i="3"/>
  <c r="G339" i="3"/>
  <c r="G250" i="3"/>
  <c r="G43" i="3"/>
  <c r="H152" i="3"/>
  <c r="H49" i="3"/>
  <c r="G162" i="3"/>
  <c r="G219" i="3"/>
  <c r="H73" i="3"/>
  <c r="G364" i="3"/>
  <c r="H256" i="3"/>
  <c r="G294" i="3"/>
  <c r="H67" i="3"/>
  <c r="G275" i="3"/>
  <c r="G331" i="3"/>
  <c r="I331" i="3" s="1"/>
  <c r="G92" i="3"/>
  <c r="G337" i="3"/>
  <c r="G306" i="3"/>
  <c r="I306" i="3" s="1"/>
  <c r="G132" i="3"/>
  <c r="H226" i="3"/>
  <c r="G346" i="3"/>
  <c r="G295" i="3"/>
  <c r="G103" i="3"/>
  <c r="G19" i="3"/>
  <c r="G352" i="3"/>
  <c r="I352" i="3" s="1"/>
  <c r="H24" i="3"/>
  <c r="G205" i="3"/>
  <c r="G354" i="3"/>
  <c r="G193" i="3"/>
  <c r="H261" i="3"/>
  <c r="H241" i="3"/>
  <c r="H45" i="3"/>
  <c r="G38" i="3"/>
  <c r="I38" i="3" s="1"/>
  <c r="H315" i="3"/>
  <c r="G34" i="3"/>
  <c r="H239" i="3"/>
  <c r="G167" i="3"/>
  <c r="H277" i="3"/>
  <c r="G109" i="3"/>
  <c r="H189" i="3"/>
  <c r="H339" i="3"/>
  <c r="G308" i="3"/>
  <c r="G116" i="3"/>
  <c r="G229" i="3"/>
  <c r="H48" i="3"/>
  <c r="G183" i="3"/>
  <c r="I183" i="3" s="1"/>
  <c r="G283" i="3"/>
  <c r="I283" i="3" s="1"/>
  <c r="H119" i="3"/>
  <c r="H138" i="3"/>
  <c r="H80" i="3"/>
  <c r="G280" i="3"/>
  <c r="H309" i="3"/>
  <c r="H93" i="3"/>
  <c r="H220" i="3"/>
  <c r="G35" i="3"/>
  <c r="I35" i="3" s="1"/>
  <c r="H304" i="3"/>
  <c r="G251" i="3"/>
  <c r="H146" i="3"/>
  <c r="G347" i="3"/>
  <c r="G31" i="3"/>
  <c r="G168" i="3"/>
  <c r="G239" i="3"/>
  <c r="G233" i="3"/>
  <c r="H286" i="3"/>
  <c r="H299" i="3"/>
  <c r="H83" i="3"/>
  <c r="H248" i="3"/>
  <c r="G95" i="3"/>
  <c r="I95" i="3" s="1"/>
  <c r="H19" i="3"/>
  <c r="G13" i="3"/>
  <c r="H141" i="3"/>
  <c r="G149" i="3"/>
  <c r="G274" i="3"/>
  <c r="G6" i="3"/>
  <c r="H269" i="3"/>
  <c r="H56" i="3"/>
  <c r="G179" i="3"/>
  <c r="H287" i="3"/>
  <c r="G309" i="3"/>
  <c r="I309" i="3" s="1"/>
  <c r="G90" i="3"/>
  <c r="H161" i="3"/>
  <c r="H247" i="3"/>
  <c r="G348" i="3"/>
  <c r="I348" i="3" s="1"/>
  <c r="H15" i="3"/>
  <c r="H212" i="3"/>
  <c r="G48" i="3"/>
  <c r="I48" i="3" s="1"/>
  <c r="H203" i="3"/>
  <c r="G142" i="3"/>
  <c r="H85" i="3"/>
  <c r="G107" i="3"/>
  <c r="G312" i="3"/>
  <c r="G63" i="3"/>
  <c r="G129" i="3"/>
  <c r="H357" i="3"/>
  <c r="H87" i="3"/>
  <c r="G255" i="3"/>
  <c r="H356" i="3"/>
  <c r="H7" i="3"/>
  <c r="G289" i="3"/>
  <c r="G127" i="3"/>
  <c r="G115" i="3"/>
  <c r="G174" i="3"/>
  <c r="H79" i="3"/>
  <c r="H16" i="3"/>
  <c r="H181" i="3"/>
  <c r="G284" i="3"/>
  <c r="G130" i="3"/>
  <c r="G269" i="3"/>
  <c r="H270" i="3"/>
  <c r="H39" i="3"/>
  <c r="H317" i="3"/>
  <c r="H290" i="3"/>
  <c r="G75" i="3"/>
  <c r="G303" i="3"/>
  <c r="H271" i="3"/>
  <c r="H196" i="3"/>
  <c r="G187" i="3"/>
  <c r="I187" i="3" s="1"/>
  <c r="H346" i="3"/>
  <c r="G326" i="3"/>
  <c r="H90" i="3"/>
  <c r="H345" i="3"/>
  <c r="G181" i="3"/>
  <c r="H92" i="3"/>
  <c r="G291" i="3"/>
  <c r="G290" i="3"/>
  <c r="H8" i="3"/>
  <c r="G88" i="3"/>
  <c r="H47" i="3"/>
  <c r="H65" i="3"/>
  <c r="H99" i="3"/>
  <c r="G238" i="3"/>
  <c r="G240" i="3"/>
  <c r="H186" i="3"/>
  <c r="G91" i="3"/>
  <c r="G323" i="3"/>
  <c r="H179" i="3"/>
  <c r="H278" i="3"/>
  <c r="G86" i="3"/>
  <c r="G111" i="3"/>
  <c r="G279" i="3"/>
  <c r="G246" i="3"/>
  <c r="H75" i="3"/>
  <c r="G310" i="3"/>
  <c r="G329" i="3"/>
  <c r="G113" i="3"/>
  <c r="H328" i="3"/>
  <c r="G282" i="3"/>
  <c r="G10" i="3"/>
  <c r="G18" i="3"/>
  <c r="H42" i="3"/>
  <c r="G45" i="3"/>
  <c r="G139" i="3"/>
  <c r="G222" i="3"/>
  <c r="G350" i="3"/>
  <c r="G159" i="3"/>
  <c r="H50" i="3"/>
  <c r="G254" i="3"/>
  <c r="H234" i="3"/>
  <c r="G176" i="3"/>
  <c r="G89" i="3"/>
  <c r="G327" i="3"/>
  <c r="G340" i="3"/>
  <c r="H254" i="3"/>
  <c r="H13" i="3"/>
  <c r="H32" i="3"/>
  <c r="G272" i="3"/>
  <c r="H33" i="3"/>
  <c r="G241" i="3"/>
  <c r="H335" i="3"/>
  <c r="G177" i="3"/>
  <c r="H118" i="3"/>
  <c r="G278" i="3"/>
  <c r="G4" i="3"/>
  <c r="H242" i="3"/>
  <c r="H178" i="3"/>
  <c r="G164" i="3"/>
  <c r="H98" i="3"/>
  <c r="G198" i="3"/>
  <c r="G94" i="3"/>
  <c r="G21" i="3"/>
  <c r="G281" i="3"/>
  <c r="H211" i="3"/>
  <c r="H4" i="3"/>
  <c r="G33" i="3"/>
  <c r="G126" i="3"/>
  <c r="G293" i="3"/>
  <c r="G201" i="3"/>
  <c r="G230" i="3"/>
  <c r="G300" i="3"/>
  <c r="G261" i="3"/>
  <c r="H103" i="3"/>
  <c r="G332" i="3"/>
  <c r="H293" i="3"/>
  <c r="H26" i="3"/>
  <c r="H182" i="3"/>
  <c r="G315" i="3"/>
  <c r="H206" i="3"/>
  <c r="H349" i="3"/>
  <c r="H297" i="3"/>
  <c r="H325" i="3"/>
  <c r="H258" i="3"/>
  <c r="H95" i="3"/>
  <c r="H167" i="3"/>
  <c r="G97" i="3"/>
  <c r="H307" i="3"/>
  <c r="H88" i="3"/>
  <c r="G191" i="3"/>
  <c r="G98" i="3"/>
  <c r="G313" i="3"/>
  <c r="G341" i="3"/>
  <c r="H274" i="3"/>
  <c r="H347" i="3"/>
  <c r="G175" i="3"/>
  <c r="G243" i="3"/>
  <c r="G186" i="3"/>
  <c r="G316" i="3"/>
  <c r="G79" i="3"/>
  <c r="G100" i="3"/>
  <c r="G104" i="3"/>
  <c r="H51" i="3"/>
  <c r="G158" i="3"/>
  <c r="H43" i="3"/>
  <c r="H149" i="3"/>
  <c r="G96" i="3"/>
  <c r="G296" i="3"/>
  <c r="G200" i="3"/>
  <c r="H344" i="3"/>
  <c r="G44" i="3"/>
  <c r="H61" i="3"/>
  <c r="G22" i="3"/>
  <c r="G172" i="3"/>
  <c r="H106" i="3"/>
  <c r="G276" i="3"/>
  <c r="G41" i="3"/>
  <c r="H332" i="3"/>
  <c r="H245" i="3"/>
  <c r="H10" i="3"/>
  <c r="H38" i="3"/>
  <c r="G192" i="3"/>
  <c r="J338" i="3" l="1"/>
  <c r="J316" i="3"/>
  <c r="J283" i="3"/>
  <c r="J300" i="3"/>
  <c r="J115" i="3"/>
  <c r="J221" i="3"/>
  <c r="J256" i="3"/>
  <c r="J261" i="3"/>
  <c r="J241" i="3"/>
  <c r="J277" i="3"/>
  <c r="J189" i="3"/>
  <c r="J80" i="3"/>
  <c r="J141" i="3"/>
  <c r="J287" i="3"/>
  <c r="J278" i="3"/>
  <c r="I82" i="3"/>
  <c r="J238" i="3"/>
  <c r="J13" i="3"/>
  <c r="I249" i="3"/>
  <c r="I143" i="3"/>
  <c r="J117" i="3"/>
  <c r="J275" i="3"/>
  <c r="I220" i="3"/>
  <c r="I150" i="3"/>
  <c r="I5" i="3"/>
  <c r="J176" i="3"/>
  <c r="I236" i="3"/>
  <c r="I247" i="3"/>
  <c r="I76" i="3"/>
  <c r="J310" i="3"/>
  <c r="I55" i="3"/>
  <c r="J280" i="3"/>
  <c r="J312" i="3"/>
  <c r="I199" i="3"/>
  <c r="J171" i="3"/>
  <c r="I15" i="3"/>
  <c r="J135" i="3"/>
  <c r="J233" i="3"/>
  <c r="I58" i="3"/>
  <c r="J78" i="3"/>
  <c r="J314" i="3"/>
  <c r="I71" i="3"/>
  <c r="I226" i="3"/>
  <c r="J180" i="3"/>
  <c r="J243" i="3"/>
  <c r="J334" i="3"/>
  <c r="J255" i="3"/>
  <c r="J127" i="3"/>
  <c r="J291" i="3"/>
  <c r="I25" i="3"/>
  <c r="J268" i="3"/>
  <c r="I64" i="3"/>
  <c r="J20" i="3"/>
  <c r="J250" i="3"/>
  <c r="I140" i="3"/>
  <c r="I72" i="3"/>
  <c r="J29" i="3"/>
  <c r="I49" i="3"/>
  <c r="I118" i="3"/>
  <c r="I208" i="3"/>
  <c r="J23" i="3"/>
  <c r="I314" i="3"/>
  <c r="I196" i="3"/>
  <c r="J17" i="3"/>
  <c r="I68" i="3"/>
  <c r="I325" i="3"/>
  <c r="J308" i="3"/>
  <c r="I299" i="3"/>
  <c r="I52" i="3"/>
  <c r="I353" i="3"/>
  <c r="I344" i="3"/>
  <c r="I235" i="3"/>
  <c r="I244" i="3"/>
  <c r="J30" i="3"/>
  <c r="J223" i="3"/>
  <c r="J81" i="3"/>
  <c r="I108" i="3"/>
  <c r="I317" i="3"/>
  <c r="J102" i="3"/>
  <c r="I14" i="3"/>
  <c r="I206" i="3"/>
  <c r="J158" i="3"/>
  <c r="I336" i="3"/>
  <c r="I242" i="3"/>
  <c r="J72" i="3"/>
  <c r="I151" i="3"/>
  <c r="I287" i="3"/>
  <c r="J147" i="3"/>
  <c r="I345" i="3"/>
  <c r="J351" i="3"/>
  <c r="J262" i="3"/>
  <c r="J175" i="3"/>
  <c r="J27" i="3"/>
  <c r="I144" i="3"/>
  <c r="I117" i="3"/>
  <c r="J331" i="3"/>
  <c r="I288" i="3"/>
  <c r="J195" i="3"/>
  <c r="I84" i="3"/>
  <c r="J249" i="3"/>
  <c r="J94" i="3"/>
  <c r="I262" i="3"/>
  <c r="I277" i="3"/>
  <c r="I265" i="3"/>
  <c r="J165" i="3"/>
  <c r="I342" i="3"/>
  <c r="I66" i="3"/>
  <c r="I50" i="3"/>
  <c r="J62" i="3"/>
  <c r="J155" i="3"/>
  <c r="I260" i="3"/>
  <c r="I355" i="3"/>
  <c r="J91" i="3"/>
  <c r="I59" i="3"/>
  <c r="J251" i="3"/>
  <c r="J46" i="3"/>
  <c r="I85" i="3"/>
  <c r="I253" i="3"/>
  <c r="I256" i="3"/>
  <c r="J76" i="3"/>
  <c r="I156" i="3"/>
  <c r="I305" i="3"/>
  <c r="J330" i="3"/>
  <c r="I9" i="3"/>
  <c r="J31" i="3"/>
  <c r="I266" i="3"/>
  <c r="I39" i="3"/>
  <c r="I83" i="3"/>
  <c r="J25" i="3"/>
  <c r="J133" i="3"/>
  <c r="J272" i="3"/>
  <c r="J197" i="3"/>
  <c r="J125" i="3"/>
  <c r="I273" i="3"/>
  <c r="J100" i="3"/>
  <c r="I42" i="3"/>
  <c r="I338" i="3"/>
  <c r="J362" i="3"/>
  <c r="J200" i="3"/>
  <c r="J202" i="3"/>
  <c r="I319" i="3"/>
  <c r="J360" i="3"/>
  <c r="I272" i="3"/>
  <c r="J305" i="3"/>
  <c r="I141" i="3"/>
  <c r="J41" i="3"/>
  <c r="J193" i="3"/>
  <c r="J263" i="3"/>
  <c r="I257" i="3"/>
  <c r="I225" i="3"/>
  <c r="J77" i="3"/>
  <c r="J337" i="3"/>
  <c r="J160" i="3"/>
  <c r="J163" i="3"/>
  <c r="I173" i="3"/>
  <c r="I133" i="3"/>
  <c r="I270" i="3"/>
  <c r="I209" i="3"/>
  <c r="I46" i="3"/>
  <c r="I122" i="3"/>
  <c r="I80" i="3"/>
  <c r="J244" i="3"/>
  <c r="I214" i="3"/>
  <c r="J336" i="3"/>
  <c r="J97" i="3"/>
  <c r="J108" i="3"/>
  <c r="J21" i="3"/>
  <c r="J320" i="3"/>
  <c r="I189" i="3"/>
  <c r="I211" i="3"/>
  <c r="I360" i="3"/>
  <c r="J57" i="3"/>
  <c r="I37" i="3"/>
  <c r="J188" i="3"/>
  <c r="J52" i="3"/>
  <c r="J229" i="3"/>
  <c r="I197" i="3"/>
  <c r="J204" i="3"/>
  <c r="J323" i="3"/>
  <c r="J192" i="3"/>
  <c r="I361" i="3"/>
  <c r="J288" i="3"/>
  <c r="J194" i="3"/>
  <c r="J301" i="3"/>
  <c r="I216" i="3"/>
  <c r="I234" i="3"/>
  <c r="J82" i="3"/>
  <c r="J60" i="3"/>
  <c r="J159" i="3"/>
  <c r="I69" i="3"/>
  <c r="J153" i="3"/>
  <c r="I57" i="3"/>
  <c r="J54" i="3"/>
  <c r="I152" i="3"/>
  <c r="I120" i="3"/>
  <c r="J18" i="3"/>
  <c r="J114" i="3"/>
  <c r="I54" i="3"/>
  <c r="J232" i="3"/>
  <c r="I334" i="3"/>
  <c r="J236" i="3"/>
  <c r="J123" i="3"/>
  <c r="I223" i="3"/>
  <c r="J53" i="3"/>
  <c r="J355" i="3"/>
  <c r="J326" i="3"/>
  <c r="J327" i="3"/>
  <c r="J6" i="3"/>
  <c r="J32" i="3"/>
  <c r="J209" i="3"/>
  <c r="I362" i="3"/>
  <c r="J213" i="3"/>
  <c r="J361" i="3"/>
  <c r="J321" i="3"/>
  <c r="J184" i="3"/>
  <c r="I147" i="3"/>
  <c r="J11" i="3"/>
  <c r="J154" i="3"/>
  <c r="I155" i="3"/>
  <c r="J34" i="3"/>
  <c r="J84" i="3"/>
  <c r="I26" i="3"/>
  <c r="I99" i="3"/>
  <c r="I114" i="3"/>
  <c r="J210" i="3"/>
  <c r="J363" i="3"/>
  <c r="J333" i="3"/>
  <c r="I87" i="3"/>
  <c r="J177" i="3"/>
  <c r="I258" i="3"/>
  <c r="J151" i="3"/>
  <c r="I224" i="3"/>
  <c r="J329" i="3"/>
  <c r="J353" i="3"/>
  <c r="I357" i="3"/>
  <c r="J215" i="3"/>
  <c r="J170" i="3"/>
  <c r="J174" i="3"/>
  <c r="J22" i="3"/>
  <c r="I125" i="3"/>
  <c r="I169" i="3"/>
  <c r="I227" i="3"/>
  <c r="J276" i="3"/>
  <c r="J37" i="3"/>
  <c r="I148" i="3"/>
  <c r="J104" i="3"/>
  <c r="I136" i="3"/>
  <c r="J306" i="3"/>
  <c r="J134" i="3"/>
  <c r="I259" i="3"/>
  <c r="I112" i="3"/>
  <c r="I165" i="3"/>
  <c r="J324" i="3"/>
  <c r="J187" i="3"/>
  <c r="I333" i="3"/>
  <c r="J343" i="3"/>
  <c r="I73" i="3"/>
  <c r="J342" i="3"/>
  <c r="I248" i="3"/>
  <c r="J235" i="3"/>
  <c r="J296" i="3"/>
  <c r="I27" i="3"/>
  <c r="I17" i="3"/>
  <c r="J148" i="3"/>
  <c r="I131" i="3"/>
  <c r="J164" i="3"/>
  <c r="J284" i="3"/>
  <c r="J124" i="3"/>
  <c r="J252" i="3"/>
  <c r="I297" i="3"/>
  <c r="J231" i="3"/>
  <c r="I356" i="3"/>
  <c r="J302" i="3"/>
  <c r="I119" i="3"/>
  <c r="J35" i="3"/>
  <c r="I157" i="3"/>
  <c r="J112" i="3"/>
  <c r="I207" i="3"/>
  <c r="J145" i="3"/>
  <c r="J273" i="3"/>
  <c r="I286" i="3"/>
  <c r="I213" i="3"/>
  <c r="J47" i="3"/>
  <c r="J99" i="3"/>
  <c r="J69" i="3"/>
  <c r="J40" i="3"/>
  <c r="J96" i="3"/>
  <c r="J196" i="3"/>
  <c r="I255" i="3"/>
  <c r="I284" i="3"/>
  <c r="I303" i="3"/>
  <c r="J346" i="3"/>
  <c r="J357" i="3"/>
  <c r="J16" i="3"/>
  <c r="I153" i="3"/>
  <c r="J120" i="3"/>
  <c r="J237" i="3"/>
  <c r="J318" i="3"/>
  <c r="J358" i="3"/>
  <c r="J139" i="3"/>
  <c r="J173" i="3"/>
  <c r="I128" i="3"/>
  <c r="I61" i="3"/>
  <c r="J322" i="3"/>
  <c r="I171" i="3"/>
  <c r="I180" i="3"/>
  <c r="J341" i="3"/>
  <c r="I264" i="3"/>
  <c r="I228" i="3"/>
  <c r="J248" i="3"/>
  <c r="I13" i="3"/>
  <c r="I149" i="3"/>
  <c r="I274" i="3"/>
  <c r="I217" i="3"/>
  <c r="J136" i="3"/>
  <c r="J282" i="3"/>
  <c r="J364" i="3"/>
  <c r="J183" i="3"/>
  <c r="J86" i="3"/>
  <c r="J260" i="3"/>
  <c r="J56" i="3"/>
  <c r="I56" i="3"/>
  <c r="I107" i="3"/>
  <c r="I129" i="3"/>
  <c r="J179" i="3"/>
  <c r="J140" i="3"/>
  <c r="I239" i="3"/>
  <c r="J111" i="3"/>
  <c r="J228" i="3"/>
  <c r="I179" i="3"/>
  <c r="I90" i="3"/>
  <c r="I142" i="3"/>
  <c r="I291" i="3"/>
  <c r="I6" i="3"/>
  <c r="J186" i="3"/>
  <c r="I111" i="3"/>
  <c r="I279" i="3"/>
  <c r="I282" i="3"/>
  <c r="I7" i="3"/>
  <c r="J266" i="3"/>
  <c r="J313" i="3"/>
  <c r="J298" i="3"/>
  <c r="J225" i="3"/>
  <c r="I30" i="3"/>
  <c r="I40" i="3"/>
  <c r="I103" i="3"/>
  <c r="J59" i="3"/>
  <c r="J299" i="3"/>
  <c r="J264" i="3"/>
  <c r="J12" i="3"/>
  <c r="I106" i="3"/>
  <c r="I358" i="3"/>
  <c r="J162" i="3"/>
  <c r="I16" i="3"/>
  <c r="J116" i="3"/>
  <c r="J227" i="3"/>
  <c r="I271" i="3"/>
  <c r="I195" i="3"/>
  <c r="I145" i="3"/>
  <c r="I20" i="3"/>
  <c r="J230" i="3"/>
  <c r="I62" i="3"/>
  <c r="J5" i="3"/>
  <c r="J150" i="3"/>
  <c r="J28" i="3"/>
  <c r="J146" i="3"/>
  <c r="I203" i="3"/>
  <c r="I321" i="3"/>
  <c r="J286" i="3"/>
  <c r="I160" i="3"/>
  <c r="I263" i="3"/>
  <c r="J205" i="3"/>
  <c r="I285" i="3"/>
  <c r="I231" i="3"/>
  <c r="J36" i="3"/>
  <c r="I330" i="3"/>
  <c r="J220" i="3"/>
  <c r="I280" i="3"/>
  <c r="I168" i="3"/>
  <c r="J19" i="3"/>
  <c r="I301" i="3"/>
  <c r="I343" i="3"/>
  <c r="I328" i="3"/>
  <c r="J340" i="3"/>
  <c r="I218" i="3"/>
  <c r="J71" i="3"/>
  <c r="I29" i="3"/>
  <c r="I36" i="3"/>
  <c r="J267" i="3"/>
  <c r="J246" i="3"/>
  <c r="J74" i="3"/>
  <c r="J309" i="3"/>
  <c r="I335" i="3"/>
  <c r="J172" i="3"/>
  <c r="J44" i="3"/>
  <c r="I351" i="3"/>
  <c r="J70" i="3"/>
  <c r="J110" i="3"/>
  <c r="I161" i="3"/>
  <c r="J219" i="3"/>
  <c r="J126" i="3"/>
  <c r="J58" i="3"/>
  <c r="J7" i="3"/>
  <c r="J224" i="3"/>
  <c r="J75" i="3"/>
  <c r="I310" i="3"/>
  <c r="I329" i="3"/>
  <c r="I53" i="3"/>
  <c r="I232" i="3"/>
  <c r="J354" i="3"/>
  <c r="I170" i="3"/>
  <c r="J350" i="3"/>
  <c r="J14" i="3"/>
  <c r="J348" i="3"/>
  <c r="I32" i="3"/>
  <c r="I138" i="3"/>
  <c r="J128" i="3"/>
  <c r="J285" i="3"/>
  <c r="I245" i="3"/>
  <c r="I124" i="3"/>
  <c r="J265" i="3"/>
  <c r="J191" i="3"/>
  <c r="I185" i="3"/>
  <c r="J156" i="3"/>
  <c r="I47" i="3"/>
  <c r="I135" i="3"/>
  <c r="J247" i="3"/>
  <c r="J212" i="3"/>
  <c r="J203" i="3"/>
  <c r="I312" i="3"/>
  <c r="I63" i="3"/>
  <c r="J181" i="3"/>
  <c r="J317" i="3"/>
  <c r="J89" i="3"/>
  <c r="I326" i="3"/>
  <c r="I181" i="3"/>
  <c r="J92" i="3"/>
  <c r="J8" i="3"/>
  <c r="I88" i="3"/>
  <c r="I240" i="3"/>
  <c r="I340" i="3"/>
  <c r="I121" i="3"/>
  <c r="J113" i="3"/>
  <c r="I78" i="3"/>
  <c r="I146" i="3"/>
  <c r="I267" i="3"/>
  <c r="I93" i="3"/>
  <c r="I31" i="3"/>
  <c r="I238" i="3"/>
  <c r="J93" i="3"/>
  <c r="I10" i="3"/>
  <c r="I350" i="3"/>
  <c r="I89" i="3"/>
  <c r="I60" i="3"/>
  <c r="I212" i="3"/>
  <c r="I70" i="3"/>
  <c r="J87" i="3"/>
  <c r="I252" i="3"/>
  <c r="J65" i="3"/>
  <c r="J39" i="3"/>
  <c r="I130" i="3"/>
  <c r="J90" i="3"/>
  <c r="I233" i="3"/>
  <c r="I251" i="3"/>
  <c r="J304" i="3"/>
  <c r="I139" i="3"/>
  <c r="J83" i="3"/>
  <c r="I347" i="3"/>
  <c r="I45" i="3"/>
  <c r="I101" i="3"/>
  <c r="I246" i="3"/>
  <c r="I323" i="3"/>
  <c r="I311" i="3"/>
  <c r="J169" i="3"/>
  <c r="J85" i="3"/>
  <c r="I18" i="3"/>
  <c r="I222" i="3"/>
  <c r="J42" i="3"/>
  <c r="J131" i="3"/>
  <c r="J107" i="3"/>
  <c r="J253" i="3"/>
  <c r="J279" i="3"/>
  <c r="J217" i="3"/>
  <c r="I65" i="3"/>
  <c r="J295" i="3"/>
  <c r="I77" i="3"/>
  <c r="J294" i="3"/>
  <c r="I194" i="3"/>
  <c r="I123" i="3"/>
  <c r="I81" i="3"/>
  <c r="J303" i="3"/>
  <c r="J132" i="3"/>
  <c r="J199" i="3"/>
  <c r="J64" i="3"/>
  <c r="I221" i="3"/>
  <c r="J218" i="3"/>
  <c r="I162" i="3"/>
  <c r="I294" i="3"/>
  <c r="J222" i="3"/>
  <c r="I132" i="3"/>
  <c r="J359" i="3"/>
  <c r="I204" i="3"/>
  <c r="I137" i="3"/>
  <c r="I295" i="3"/>
  <c r="I19" i="3"/>
  <c r="J24" i="3"/>
  <c r="J339" i="3"/>
  <c r="I163" i="3"/>
  <c r="J270" i="3"/>
  <c r="J9" i="3"/>
  <c r="J157" i="3"/>
  <c r="I28" i="3"/>
  <c r="I24" i="3"/>
  <c r="J105" i="3"/>
  <c r="J216" i="3"/>
  <c r="I322" i="3"/>
  <c r="I205" i="3"/>
  <c r="I219" i="3"/>
  <c r="I193" i="3"/>
  <c r="I308" i="3"/>
  <c r="I34" i="3"/>
  <c r="J239" i="3"/>
  <c r="I167" i="3"/>
  <c r="J45" i="3"/>
  <c r="I116" i="3"/>
  <c r="I229" i="3"/>
  <c r="I154" i="3"/>
  <c r="I166" i="3"/>
  <c r="J315" i="3"/>
  <c r="I109" i="3"/>
  <c r="J292" i="3"/>
  <c r="J48" i="3"/>
  <c r="J119" i="3"/>
  <c r="J137" i="3"/>
  <c r="J130" i="3"/>
  <c r="J289" i="3"/>
  <c r="I11" i="3"/>
  <c r="I102" i="3"/>
  <c r="I349" i="3"/>
  <c r="J240" i="3"/>
  <c r="J138" i="3"/>
  <c r="J129" i="3"/>
  <c r="J269" i="3"/>
  <c r="I182" i="3"/>
  <c r="J55" i="3"/>
  <c r="J68" i="3"/>
  <c r="J49" i="3"/>
  <c r="I75" i="3"/>
  <c r="J161" i="3"/>
  <c r="I115" i="3"/>
  <c r="J271" i="3"/>
  <c r="I127" i="3"/>
  <c r="I269" i="3"/>
  <c r="J290" i="3"/>
  <c r="J79" i="3"/>
  <c r="I290" i="3"/>
  <c r="I289" i="3"/>
  <c r="I86" i="3"/>
  <c r="J328" i="3"/>
  <c r="I91" i="3"/>
  <c r="I113" i="3"/>
  <c r="J356" i="3"/>
  <c r="I176" i="3"/>
  <c r="I327" i="3"/>
  <c r="J15" i="3"/>
  <c r="J50" i="3"/>
  <c r="I174" i="3"/>
  <c r="J345" i="3"/>
  <c r="I159" i="3"/>
  <c r="I254" i="3"/>
  <c r="J234" i="3"/>
  <c r="J185" i="3"/>
  <c r="J166" i="3"/>
  <c r="J311" i="3"/>
  <c r="I237" i="3"/>
  <c r="I320" i="3"/>
  <c r="I184" i="3"/>
  <c r="I74" i="3"/>
  <c r="J144" i="3"/>
  <c r="I110" i="3"/>
  <c r="I188" i="3"/>
  <c r="J319" i="3"/>
  <c r="I43" i="3"/>
  <c r="J152" i="3"/>
  <c r="I275" i="3"/>
  <c r="I346" i="3"/>
  <c r="J66" i="3"/>
  <c r="I363" i="3"/>
  <c r="J121" i="3"/>
  <c r="J101" i="3"/>
  <c r="I339" i="3"/>
  <c r="I250" i="3"/>
  <c r="I364" i="3"/>
  <c r="I51" i="3"/>
  <c r="J214" i="3"/>
  <c r="J63" i="3"/>
  <c r="J143" i="3"/>
  <c r="J259" i="3"/>
  <c r="I105" i="3"/>
  <c r="J142" i="3"/>
  <c r="J122" i="3"/>
  <c r="J226" i="3"/>
  <c r="J281" i="3"/>
  <c r="J109" i="3"/>
  <c r="J201" i="3"/>
  <c r="J67" i="3"/>
  <c r="J254" i="3"/>
  <c r="I23" i="3"/>
  <c r="J168" i="3"/>
  <c r="I215" i="3"/>
  <c r="I337" i="3"/>
  <c r="I92" i="3"/>
  <c r="I354" i="3"/>
  <c r="I307" i="3"/>
  <c r="I292" i="3"/>
  <c r="J73" i="3"/>
  <c r="I268" i="3"/>
  <c r="J190" i="3"/>
  <c r="I134" i="3"/>
  <c r="J207" i="3"/>
  <c r="J208" i="3"/>
  <c r="J257" i="3"/>
  <c r="I304" i="3"/>
  <c r="I210" i="3"/>
  <c r="I298" i="3"/>
  <c r="I324" i="3"/>
  <c r="I359" i="3"/>
  <c r="J352" i="3"/>
  <c r="I67" i="3"/>
  <c r="J198" i="3"/>
  <c r="J33" i="3"/>
  <c r="I241" i="3"/>
  <c r="J335" i="3"/>
  <c r="I177" i="3"/>
  <c r="J118" i="3"/>
  <c r="I278" i="3"/>
  <c r="I4" i="3"/>
  <c r="J242" i="3"/>
  <c r="J178" i="3"/>
  <c r="I164" i="3"/>
  <c r="J98" i="3"/>
  <c r="I198" i="3"/>
  <c r="I94" i="3"/>
  <c r="I21" i="3"/>
  <c r="I281" i="3"/>
  <c r="J211" i="3"/>
  <c r="J4" i="3"/>
  <c r="I33" i="3"/>
  <c r="I126" i="3"/>
  <c r="I293" i="3"/>
  <c r="I201" i="3"/>
  <c r="I230" i="3"/>
  <c r="I300" i="3"/>
  <c r="I261" i="3"/>
  <c r="J103" i="3"/>
  <c r="I332" i="3"/>
  <c r="J293" i="3"/>
  <c r="J26" i="3"/>
  <c r="J182" i="3"/>
  <c r="I315" i="3"/>
  <c r="J206" i="3"/>
  <c r="J349" i="3"/>
  <c r="J297" i="3"/>
  <c r="J325" i="3"/>
  <c r="J258" i="3"/>
  <c r="J95" i="3"/>
  <c r="J167" i="3"/>
  <c r="I97" i="3"/>
  <c r="J307" i="3"/>
  <c r="J88" i="3"/>
  <c r="I191" i="3"/>
  <c r="I98" i="3"/>
  <c r="I313" i="3"/>
  <c r="I341" i="3"/>
  <c r="J274" i="3"/>
  <c r="J347" i="3"/>
  <c r="I175" i="3"/>
  <c r="I243" i="3"/>
  <c r="I186" i="3"/>
  <c r="I316" i="3"/>
  <c r="I79" i="3"/>
  <c r="I100" i="3"/>
  <c r="I104" i="3"/>
  <c r="J51" i="3"/>
  <c r="I158" i="3"/>
  <c r="J43" i="3"/>
  <c r="J149" i="3"/>
  <c r="I96" i="3"/>
  <c r="I296" i="3"/>
  <c r="I200" i="3"/>
  <c r="J344" i="3"/>
  <c r="I44" i="3"/>
  <c r="J61" i="3"/>
  <c r="I22" i="3"/>
  <c r="I172" i="3"/>
  <c r="J106" i="3"/>
  <c r="I276" i="3"/>
  <c r="I41" i="3"/>
  <c r="J332" i="3"/>
  <c r="J245" i="3"/>
  <c r="J10" i="3"/>
  <c r="J38" i="3"/>
  <c r="I192" i="3"/>
</calcChain>
</file>

<file path=xl/sharedStrings.xml><?xml version="1.0" encoding="utf-8"?>
<sst xmlns="http://schemas.openxmlformats.org/spreadsheetml/2006/main" count="52" uniqueCount="52">
  <si>
    <t>D [m]</t>
  </si>
  <si>
    <t>L [m]</t>
  </si>
  <si>
    <t>δ [°]</t>
  </si>
  <si>
    <t>2θ(+)</t>
  </si>
  <si>
    <t>2θ(-)</t>
  </si>
  <si>
    <r>
      <t>K</t>
    </r>
    <r>
      <rPr>
        <b/>
        <vertAlign val="subscript"/>
        <sz val="11"/>
        <color theme="1"/>
        <rFont val="Arial Nova Cond Light"/>
        <family val="2"/>
      </rPr>
      <t>p</t>
    </r>
  </si>
  <si>
    <r>
      <t>K</t>
    </r>
    <r>
      <rPr>
        <b/>
        <vertAlign val="subscript"/>
        <sz val="11"/>
        <color theme="1"/>
        <rFont val="Arial Nova Cond Light"/>
        <family val="2"/>
      </rPr>
      <t>p</t>
    </r>
    <r>
      <rPr>
        <b/>
        <sz val="11"/>
        <color theme="1"/>
        <rFont val="Arial Nova Cond Light"/>
        <family val="2"/>
      </rPr>
      <t>*</t>
    </r>
  </si>
  <si>
    <r>
      <t>K</t>
    </r>
    <r>
      <rPr>
        <b/>
        <vertAlign val="subscript"/>
        <sz val="11"/>
        <color theme="1"/>
        <rFont val="Arial Nova Cond Light"/>
        <family val="2"/>
      </rPr>
      <t>a</t>
    </r>
    <r>
      <rPr>
        <b/>
        <sz val="11"/>
        <color theme="1"/>
        <rFont val="Arial Nova Cond Light"/>
        <family val="2"/>
      </rPr>
      <t>*</t>
    </r>
  </si>
  <si>
    <t>V [MN]</t>
  </si>
  <si>
    <t>A</t>
  </si>
  <si>
    <t>B</t>
  </si>
  <si>
    <t>β [rad]</t>
  </si>
  <si>
    <t>β [°]</t>
  </si>
  <si>
    <t>H [MN]</t>
  </si>
  <si>
    <t>M [MNm]</t>
  </si>
  <si>
    <r>
      <t>N</t>
    </r>
    <r>
      <rPr>
        <b/>
        <vertAlign val="subscript"/>
        <sz val="11"/>
        <color theme="1"/>
        <rFont val="Arial Nova Cond Light"/>
        <family val="2"/>
      </rPr>
      <t>p</t>
    </r>
  </si>
  <si>
    <r>
      <t>H</t>
    </r>
    <r>
      <rPr>
        <b/>
        <vertAlign val="subscript"/>
        <sz val="11"/>
        <color theme="1"/>
        <rFont val="Arial Nova Cond Light"/>
        <family val="2"/>
      </rPr>
      <t>lim,max</t>
    </r>
    <r>
      <rPr>
        <b/>
        <sz val="11"/>
        <color theme="1"/>
        <rFont val="Arial Nova Cond Light"/>
        <family val="2"/>
      </rPr>
      <t xml:space="preserve"> [MN]</t>
    </r>
  </si>
  <si>
    <r>
      <rPr>
        <b/>
        <sz val="11"/>
        <color theme="1"/>
        <rFont val="Times New Roman"/>
        <family val="1"/>
      </rPr>
      <t>θ</t>
    </r>
    <r>
      <rPr>
        <b/>
        <vertAlign val="subscript"/>
        <sz val="11"/>
        <color theme="1"/>
        <rFont val="Arial Nova Cond Light"/>
        <family val="2"/>
      </rPr>
      <t>c</t>
    </r>
    <r>
      <rPr>
        <b/>
        <sz val="11"/>
        <color theme="1"/>
        <rFont val="Arial Nova Cond Light"/>
        <family val="2"/>
      </rPr>
      <t xml:space="preserve"> [rad]</t>
    </r>
  </si>
  <si>
    <r>
      <t>M</t>
    </r>
    <r>
      <rPr>
        <b/>
        <vertAlign val="subscript"/>
        <sz val="11"/>
        <color theme="1"/>
        <rFont val="Arial Nova Cond Light"/>
        <family val="2"/>
      </rPr>
      <t>lim,max</t>
    </r>
    <r>
      <rPr>
        <b/>
        <sz val="11"/>
        <color theme="1"/>
        <rFont val="Arial Nova Cond Light"/>
        <family val="2"/>
      </rPr>
      <t xml:space="preserve"> [MN]</t>
    </r>
  </si>
  <si>
    <r>
      <t>H</t>
    </r>
    <r>
      <rPr>
        <b/>
        <vertAlign val="subscript"/>
        <sz val="11"/>
        <color theme="1"/>
        <rFont val="Arial Nova Cond Light"/>
        <family val="2"/>
      </rPr>
      <t>lim</t>
    </r>
    <r>
      <rPr>
        <b/>
        <sz val="11"/>
        <color theme="1"/>
        <rFont val="Arial Nova Cond Light"/>
        <family val="2"/>
      </rPr>
      <t xml:space="preserve"> [MN]</t>
    </r>
  </si>
  <si>
    <r>
      <t>β</t>
    </r>
    <r>
      <rPr>
        <b/>
        <vertAlign val="superscript"/>
        <sz val="11"/>
        <color theme="1"/>
        <rFont val="Arial Nova Cond Light"/>
        <family val="2"/>
      </rPr>
      <t>H</t>
    </r>
    <r>
      <rPr>
        <b/>
        <sz val="11"/>
        <color theme="1"/>
        <rFont val="Arial Nova Cond Light"/>
        <family val="2"/>
      </rPr>
      <t xml:space="preserve"> [°]</t>
    </r>
  </si>
  <si>
    <r>
      <t>β</t>
    </r>
    <r>
      <rPr>
        <b/>
        <vertAlign val="superscript"/>
        <sz val="11"/>
        <color theme="1"/>
        <rFont val="Arial Nova Cond Light"/>
        <family val="2"/>
      </rPr>
      <t>H</t>
    </r>
    <r>
      <rPr>
        <b/>
        <sz val="11"/>
        <color theme="1"/>
        <rFont val="Arial Nova Cond Light"/>
        <family val="2"/>
      </rPr>
      <t xml:space="preserve"> [rad]</t>
    </r>
  </si>
  <si>
    <t>Data</t>
  </si>
  <si>
    <t>Caisson diameter</t>
  </si>
  <si>
    <t>Caisson length</t>
  </si>
  <si>
    <t>Buoyant unit weight of the soil</t>
  </si>
  <si>
    <t>Angle of shearing resistance of the soil</t>
  </si>
  <si>
    <t>Coefficient of lateral earth pressure at rest</t>
  </si>
  <si>
    <t>Interface friction angle</t>
  </si>
  <si>
    <r>
      <rPr>
        <b/>
        <sz val="12"/>
        <color theme="0"/>
        <rFont val="Times New Roman"/>
        <family val="1"/>
      </rPr>
      <t>γ</t>
    </r>
    <r>
      <rPr>
        <b/>
        <sz val="12"/>
        <color theme="0"/>
        <rFont val="Arial Nova Cond Light"/>
        <family val="2"/>
      </rPr>
      <t>' [kN/m</t>
    </r>
    <r>
      <rPr>
        <b/>
        <vertAlign val="superscript"/>
        <sz val="12"/>
        <color theme="0"/>
        <rFont val="Arial Nova Cond Light"/>
        <family val="2"/>
      </rPr>
      <t>3</t>
    </r>
    <r>
      <rPr>
        <b/>
        <sz val="12"/>
        <color theme="0"/>
        <rFont val="Arial Nova Cond Light"/>
        <family val="2"/>
      </rPr>
      <t>]</t>
    </r>
  </si>
  <si>
    <r>
      <rPr>
        <b/>
        <sz val="12"/>
        <color theme="0"/>
        <rFont val="Aptos Narrow"/>
        <family val="2"/>
      </rPr>
      <t>ф</t>
    </r>
    <r>
      <rPr>
        <b/>
        <sz val="12"/>
        <color theme="0"/>
        <rFont val="Arial Nova Cond Light"/>
        <family val="2"/>
      </rPr>
      <t xml:space="preserve"> [°]</t>
    </r>
  </si>
  <si>
    <r>
      <t>k</t>
    </r>
    <r>
      <rPr>
        <b/>
        <vertAlign val="subscript"/>
        <sz val="12"/>
        <color theme="0"/>
        <rFont val="Arial Nova Cond Light"/>
        <family val="2"/>
      </rPr>
      <t xml:space="preserve">0 </t>
    </r>
  </si>
  <si>
    <t>Rankine coefficient of passive earth pressure</t>
  </si>
  <si>
    <t>Lancellotta (2002) coefficient of passive earth pressure</t>
  </si>
  <si>
    <t>Lancellotta (2002) coefficient of active earth pressure</t>
  </si>
  <si>
    <t>Horizontal bearing capacity coefficient (Cesaro et al., 2026)</t>
  </si>
  <si>
    <t>Horizontal resistance associated with a pure leftward translation mechanism</t>
  </si>
  <si>
    <t>Limiting horizontal load corresponding to zero eccentricity</t>
  </si>
  <si>
    <t>Maximum moment bearing capacity</t>
  </si>
  <si>
    <t>angle between the vertical axis and the semi-major axis</t>
  </si>
  <si>
    <r>
      <t>polar angle corresponding to H</t>
    </r>
    <r>
      <rPr>
        <i/>
        <vertAlign val="subscript"/>
        <sz val="11"/>
        <color theme="1"/>
        <rFont val="Arial Nova Cond Light"/>
        <family val="2"/>
      </rPr>
      <t>lim,max</t>
    </r>
  </si>
  <si>
    <t>Eq.3</t>
  </si>
  <si>
    <t>Semi-major axis</t>
  </si>
  <si>
    <t>Semi-minor axis</t>
  </si>
  <si>
    <r>
      <t>H/</t>
    </r>
    <r>
      <rPr>
        <b/>
        <sz val="12"/>
        <color theme="1"/>
        <rFont val="Times New Roman"/>
        <family val="1"/>
      </rPr>
      <t>γ</t>
    </r>
    <r>
      <rPr>
        <b/>
        <sz val="12"/>
        <color theme="1"/>
        <rFont val="Arial Nova Cond Light"/>
        <family val="2"/>
      </rPr>
      <t>'D</t>
    </r>
    <r>
      <rPr>
        <b/>
        <vertAlign val="superscript"/>
        <sz val="12"/>
        <color theme="1"/>
        <rFont val="Arial Nova Cond Light"/>
        <family val="2"/>
      </rPr>
      <t>3</t>
    </r>
  </si>
  <si>
    <r>
      <t>M/</t>
    </r>
    <r>
      <rPr>
        <b/>
        <sz val="12"/>
        <color theme="1"/>
        <rFont val="Times New Roman"/>
        <family val="1"/>
      </rPr>
      <t>γ'</t>
    </r>
    <r>
      <rPr>
        <b/>
        <sz val="12"/>
        <color theme="1"/>
        <rFont val="Arial Nova Cond Light"/>
        <family val="2"/>
      </rPr>
      <t>D</t>
    </r>
    <r>
      <rPr>
        <b/>
        <vertAlign val="superscript"/>
        <sz val="12"/>
        <color theme="1"/>
        <rFont val="Arial Nova Cond Light"/>
        <family val="2"/>
      </rPr>
      <t>4</t>
    </r>
  </si>
  <si>
    <r>
      <t xml:space="preserve">Vertical Load </t>
    </r>
    <r>
      <rPr>
        <b/>
        <u/>
        <sz val="11"/>
        <color theme="1"/>
        <rFont val="Arial Nova Cond Light"/>
        <family val="2"/>
      </rPr>
      <t>[Apply Excel's Goal Seek: set this cell to the desired value by changing x</t>
    </r>
    <r>
      <rPr>
        <b/>
        <u/>
        <vertAlign val="subscript"/>
        <sz val="11"/>
        <color theme="1"/>
        <rFont val="Arial Nova Cond Light"/>
        <family val="2"/>
      </rPr>
      <t>c</t>
    </r>
    <r>
      <rPr>
        <b/>
        <u/>
        <sz val="11"/>
        <color theme="1"/>
        <rFont val="Arial Nova Cond Light"/>
        <family val="2"/>
      </rPr>
      <t>/D]</t>
    </r>
  </si>
  <si>
    <r>
      <rPr>
        <b/>
        <sz val="11"/>
        <color theme="1"/>
        <rFont val="Aptos Narrow"/>
        <family val="2"/>
      </rPr>
      <t>ω</t>
    </r>
    <r>
      <rPr>
        <b/>
        <sz val="11"/>
        <color theme="1"/>
        <rFont val="Arial Nova Cond Light"/>
        <family val="2"/>
      </rPr>
      <t xml:space="preserve"> [rad]</t>
    </r>
  </si>
  <si>
    <t>[Apply Excel's Goal Seek: set this cell to 0 by changing ω [°]]</t>
  </si>
  <si>
    <r>
      <t xml:space="preserve">Cesaro R., Marveggio P., Flessati L., Boccieri G., Conti R., Di Laora R. (2026). </t>
    </r>
    <r>
      <rPr>
        <b/>
        <sz val="12"/>
        <color theme="1"/>
        <rFont val="Arial Nova Cond Light"/>
        <family val="2"/>
      </rPr>
      <t>Response of monopod suction caisson under monotonic and cyclic loading: FE modelling using SANISAND-MS.</t>
    </r>
    <r>
      <rPr>
        <sz val="12"/>
        <color theme="1"/>
        <rFont val="Arial Nova Cond Light"/>
        <family val="2"/>
      </rPr>
      <t xml:space="preserve"> </t>
    </r>
    <r>
      <rPr>
        <i/>
        <sz val="12"/>
        <color theme="1"/>
        <rFont val="Arial Nova Cond Light"/>
        <family val="2"/>
      </rPr>
      <t>ISSMGE Journal on Geotechnical Engineering Research</t>
    </r>
  </si>
  <si>
    <r>
      <t>x</t>
    </r>
    <r>
      <rPr>
        <b/>
        <vertAlign val="subscript"/>
        <sz val="12"/>
        <color theme="0"/>
        <rFont val="Arial Nova Cond Light"/>
        <family val="2"/>
      </rPr>
      <t>c</t>
    </r>
    <r>
      <rPr>
        <b/>
        <sz val="12"/>
        <color theme="0"/>
        <rFont val="Arial Nova Cond Light"/>
        <family val="2"/>
      </rPr>
      <t>/D</t>
    </r>
  </si>
  <si>
    <r>
      <rPr>
        <b/>
        <sz val="12"/>
        <color theme="0"/>
        <rFont val="Aptos Narrow"/>
        <family val="2"/>
      </rPr>
      <t>ω</t>
    </r>
    <r>
      <rPr>
        <b/>
        <sz val="12"/>
        <color theme="0"/>
        <rFont val="Arial Nova Cond Light"/>
        <family val="2"/>
      </rPr>
      <t xml:space="preserve"> [°]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</si>
</sst>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Arial Nova Cond Light"/>
      <family val="2"/>
    </font>
    <font>
      <b/>
      <sz val="11"/>
      <color theme="1"/>
      <name val="Arial Nova Cond Light"/>
      <family val="2"/>
    </font>
    <font>
      <b/>
      <vertAlign val="subscript"/>
      <sz val="11"/>
      <color theme="1"/>
      <name val="Arial Nova Cond Light"/>
      <family val="2"/>
    </font>
    <font>
      <b/>
      <sz val="11"/>
      <color theme="1"/>
      <name val="Times New Roman"/>
      <family val="1"/>
    </font>
    <font>
      <b/>
      <vertAlign val="superscript"/>
      <sz val="11"/>
      <color theme="1"/>
      <name val="Arial Nova Cond Light"/>
      <family val="2"/>
    </font>
    <font>
      <b/>
      <sz val="11"/>
      <color theme="1"/>
      <name val="Aptos Narrow"/>
      <family val="2"/>
    </font>
    <font>
      <b/>
      <sz val="11"/>
      <color theme="1"/>
      <name val="Aptos Narrow"/>
      <family val="1"/>
    </font>
    <font>
      <b/>
      <sz val="12"/>
      <color theme="1"/>
      <name val="Arial Nova Cond Light"/>
      <family val="2"/>
    </font>
    <font>
      <i/>
      <sz val="11"/>
      <color theme="1"/>
      <name val="Arial Nova Cond Light"/>
      <family val="2"/>
    </font>
    <font>
      <b/>
      <i/>
      <sz val="18"/>
      <color rgb="FFFF0000"/>
      <name val="Arial Nova Cond Light"/>
      <family val="2"/>
    </font>
    <font>
      <b/>
      <sz val="12"/>
      <color theme="0"/>
      <name val="Arial Nova Cond Light"/>
      <family val="2"/>
    </font>
    <font>
      <sz val="12"/>
      <color theme="1"/>
      <name val="Arial Nova Cond Light"/>
      <family val="2"/>
    </font>
    <font>
      <b/>
      <sz val="12"/>
      <color theme="0"/>
      <name val="Arial Nova Cond Light"/>
      <family val="1"/>
    </font>
    <font>
      <b/>
      <sz val="12"/>
      <color theme="0"/>
      <name val="Times New Roman"/>
      <family val="1"/>
    </font>
    <font>
      <b/>
      <vertAlign val="superscript"/>
      <sz val="12"/>
      <color theme="0"/>
      <name val="Arial Nova Cond Light"/>
      <family val="2"/>
    </font>
    <font>
      <b/>
      <sz val="12"/>
      <color theme="0"/>
      <name val="Aptos Narrow"/>
      <family val="2"/>
    </font>
    <font>
      <b/>
      <vertAlign val="subscript"/>
      <sz val="12"/>
      <color theme="0"/>
      <name val="Arial Nova Cond Light"/>
      <family val="2"/>
    </font>
    <font>
      <i/>
      <vertAlign val="subscript"/>
      <sz val="11"/>
      <color theme="1"/>
      <name val="Arial Nova Cond Light"/>
      <family val="2"/>
    </font>
    <font>
      <b/>
      <sz val="12"/>
      <color theme="1"/>
      <name val="Times New Roman"/>
      <family val="1"/>
    </font>
    <font>
      <b/>
      <vertAlign val="superscript"/>
      <sz val="12"/>
      <color theme="1"/>
      <name val="Arial Nova Cond Light"/>
      <family val="2"/>
    </font>
    <font>
      <b/>
      <u/>
      <sz val="11"/>
      <color theme="1"/>
      <name val="Arial Nova Cond Light"/>
      <family val="2"/>
    </font>
    <font>
      <b/>
      <u/>
      <vertAlign val="subscript"/>
      <sz val="11"/>
      <color theme="1"/>
      <name val="Arial Nova Cond Light"/>
      <family val="2"/>
    </font>
    <font>
      <i/>
      <sz val="12"/>
      <color theme="1"/>
      <name val="Arial Nova Cond Light"/>
      <family val="2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2" fontId="1" fillId="7" borderId="1" xfId="0" applyNumberFormat="1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159117724963286E-2"/>
          <c:y val="2.880721800998608E-2"/>
          <c:w val="0.86193878976137162"/>
          <c:h val="0.89132865499352754"/>
        </c:manualLayout>
      </c:layout>
      <c:scatterChart>
        <c:scatterStyle val="smoothMarker"/>
        <c:varyColors val="0"/>
        <c:ser>
          <c:idx val="0"/>
          <c:order val="0"/>
          <c:spPr>
            <a:ln w="317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'Failure surface'!$I$4:$I$364</c:f>
              <c:numCache>
                <c:formatCode>0.00</c:formatCode>
                <c:ptCount val="361"/>
                <c:pt idx="0">
                  <c:v>-3.3259781670978792</c:v>
                </c:pt>
                <c:pt idx="1">
                  <c:v>-3.3037788525373397</c:v>
                </c:pt>
                <c:pt idx="2">
                  <c:v>-3.2805731749338931</c:v>
                </c:pt>
                <c:pt idx="3">
                  <c:v>-3.2563682029617356</c:v>
                </c:pt>
                <c:pt idx="4">
                  <c:v>-3.2311713096898087</c:v>
                </c:pt>
                <c:pt idx="5">
                  <c:v>-3.2049901703358912</c:v>
                </c:pt>
                <c:pt idx="6">
                  <c:v>-3.177832759928652</c:v>
                </c:pt>
                <c:pt idx="7">
                  <c:v>-3.1497073508783817</c:v>
                </c:pt>
                <c:pt idx="8">
                  <c:v>-3.1206225104571339</c:v>
                </c:pt>
                <c:pt idx="9">
                  <c:v>-3.0905870981890513</c:v>
                </c:pt>
                <c:pt idx="10">
                  <c:v>-3.0596102631516708</c:v>
                </c:pt>
                <c:pt idx="11">
                  <c:v>-3.0277014411890244</c:v>
                </c:pt>
                <c:pt idx="12">
                  <c:v>-2.9948703520373892</c:v>
                </c:pt>
                <c:pt idx="13">
                  <c:v>-2.9611269963645634</c:v>
                </c:pt>
                <c:pt idx="14">
                  <c:v>-2.9264816527235631</c:v>
                </c:pt>
                <c:pt idx="15">
                  <c:v>-2.8909448744216792</c:v>
                </c:pt>
                <c:pt idx="16">
                  <c:v>-2.8545274863058343</c:v>
                </c:pt>
                <c:pt idx="17">
                  <c:v>-2.8172405814652315</c:v>
                </c:pt>
                <c:pt idx="18">
                  <c:v>-2.7790955178522934</c:v>
                </c:pt>
                <c:pt idx="19">
                  <c:v>-2.7401039148229134</c:v>
                </c:pt>
                <c:pt idx="20">
                  <c:v>-2.7002776495970964</c:v>
                </c:pt>
                <c:pt idx="21">
                  <c:v>-2.6596288536410349</c:v>
                </c:pt>
                <c:pt idx="22">
                  <c:v>-2.6181699089717512</c:v>
                </c:pt>
                <c:pt idx="23">
                  <c:v>-2.5759134443854133</c:v>
                </c:pt>
                <c:pt idx="24">
                  <c:v>-2.5328723316104811</c:v>
                </c:pt>
                <c:pt idx="25">
                  <c:v>-2.489059681386856</c:v>
                </c:pt>
                <c:pt idx="26">
                  <c:v>-2.4444888394722177</c:v>
                </c:pt>
                <c:pt idx="27">
                  <c:v>-2.3991733825767807</c:v>
                </c:pt>
                <c:pt idx="28">
                  <c:v>-2.3531271142276964</c:v>
                </c:pt>
                <c:pt idx="29">
                  <c:v>-2.3063640605643645</c:v>
                </c:pt>
                <c:pt idx="30">
                  <c:v>-2.2588984660659346</c:v>
                </c:pt>
                <c:pt idx="31">
                  <c:v>-2.2107447892123</c:v>
                </c:pt>
                <c:pt idx="32">
                  <c:v>-2.1619176980799053</c:v>
                </c:pt>
                <c:pt idx="33">
                  <c:v>-2.1124320658737088</c:v>
                </c:pt>
                <c:pt idx="34">
                  <c:v>-2.0623029663966577</c:v>
                </c:pt>
                <c:pt idx="35">
                  <c:v>-2.0115456694580658</c:v>
                </c:pt>
                <c:pt idx="36">
                  <c:v>-1.9601756362222753</c:v>
                </c:pt>
                <c:pt idx="37">
                  <c:v>-1.9082085144990444</c:v>
                </c:pt>
                <c:pt idx="38">
                  <c:v>-1.8556601339770658</c:v>
                </c:pt>
                <c:pt idx="39">
                  <c:v>-1.8025465014020949</c:v>
                </c:pt>
                <c:pt idx="40">
                  <c:v>-1.7488837957011367</c:v>
                </c:pt>
                <c:pt idx="41">
                  <c:v>-1.6946883630541902</c:v>
                </c:pt>
                <c:pt idx="42">
                  <c:v>-1.6399767119150428</c:v>
                </c:pt>
                <c:pt idx="43">
                  <c:v>-1.5847655079826342</c:v>
                </c:pt>
                <c:pt idx="44">
                  <c:v>-1.5290715691245267</c:v>
                </c:pt>
                <c:pt idx="45">
                  <c:v>-1.4729118602540148</c:v>
                </c:pt>
                <c:pt idx="46">
                  <c:v>-1.4163034881624512</c:v>
                </c:pt>
                <c:pt idx="47">
                  <c:v>-1.359263696308354</c:v>
                </c:pt>
                <c:pt idx="48">
                  <c:v>-1.3018098595648784</c:v>
                </c:pt>
                <c:pt idx="49">
                  <c:v>-1.2439594789272634</c:v>
                </c:pt>
                <c:pt idx="50">
                  <c:v>-1.1857301761818617</c:v>
                </c:pt>
                <c:pt idx="51">
                  <c:v>-1.1271396885383687</c:v>
                </c:pt>
                <c:pt idx="52">
                  <c:v>-1.0682058632268998</c:v>
                </c:pt>
                <c:pt idx="53">
                  <c:v>-1.0089466520615491</c:v>
                </c:pt>
                <c:pt idx="54">
                  <c:v>-0.94938010597209455</c:v>
                </c:pt>
                <c:pt idx="55">
                  <c:v>-0.8895243695055095</c:v>
                </c:pt>
                <c:pt idx="56">
                  <c:v>-0.82939767529895692</c:v>
                </c:pt>
                <c:pt idx="57">
                  <c:v>-0.7690183385259528</c:v>
                </c:pt>
                <c:pt idx="58">
                  <c:v>-0.70840475131738545</c:v>
                </c:pt>
                <c:pt idx="59">
                  <c:v>-0.64757537715909597</c:v>
                </c:pt>
                <c:pt idx="60">
                  <c:v>-0.58654874526772138</c:v>
                </c:pt>
                <c:pt idx="61">
                  <c:v>-0.52534344494651175</c:v>
                </c:pt>
                <c:pt idx="62">
                  <c:v>-0.46397811992285565</c:v>
                </c:pt>
                <c:pt idx="63">
                  <c:v>-0.40247146266921363</c:v>
                </c:pt>
                <c:pt idx="64">
                  <c:v>-0.340842208709214</c:v>
                </c:pt>
                <c:pt idx="65">
                  <c:v>-0.2791091309106295</c:v>
                </c:pt>
                <c:pt idx="66">
                  <c:v>-0.21729103376697798</c:v>
                </c:pt>
                <c:pt idx="67">
                  <c:v>-0.1554067476694958</c:v>
                </c:pt>
                <c:pt idx="68">
                  <c:v>-9.3475123171214536E-2</c:v>
                </c:pt>
                <c:pt idx="69">
                  <c:v>-3.1515025244902573E-2</c:v>
                </c:pt>
                <c:pt idx="70">
                  <c:v>3.0454672463392955E-2</c:v>
                </c:pt>
                <c:pt idx="71">
                  <c:v>9.2415093383435121E-2</c:v>
                </c:pt>
                <c:pt idx="72">
                  <c:v>0.1543473637707875</c:v>
                </c:pt>
                <c:pt idx="73">
                  <c:v>0.21623261845593869</c:v>
                </c:pt>
                <c:pt idx="74">
                  <c:v>0.27805200659081653</c:v>
                </c:pt>
                <c:pt idx="75">
                  <c:v>0.3397866973909357</c:v>
                </c:pt>
                <c:pt idx="76">
                  <c:v>0.401417885871442</c:v>
                </c:pt>
                <c:pt idx="77">
                  <c:v>0.46292679857528984</c:v>
                </c:pt>
                <c:pt idx="78">
                  <c:v>0.52429469929181782</c:v>
                </c:pt>
                <c:pt idx="79">
                  <c:v>0.58550289476398609</c:v>
                </c:pt>
                <c:pt idx="80">
                  <c:v>0.64653274038251507</c:v>
                </c:pt>
                <c:pt idx="81">
                  <c:v>0.70736564586522033</c:v>
                </c:pt>
                <c:pt idx="82">
                  <c:v>0.76798308091979006</c:v>
                </c:pt>
                <c:pt idx="83">
                  <c:v>0.82836658088829229</c:v>
                </c:pt>
                <c:pt idx="84">
                  <c:v>0.88849775237168882</c:v>
                </c:pt>
                <c:pt idx="85">
                  <c:v>0.9483582788326419</c:v>
                </c:pt>
                <c:pt idx="86">
                  <c:v>1.0079299261749097</c:v>
                </c:pt>
                <c:pt idx="87">
                  <c:v>1.0671945482976275</c:v>
                </c:pt>
                <c:pt idx="88">
                  <c:v>1.126134092622789</c:v>
                </c:pt>
                <c:pt idx="89">
                  <c:v>1.1847306055942313</c:v>
                </c:pt>
                <c:pt idx="90">
                  <c:v>1.2429662381464666</c:v>
                </c:pt>
                <c:pt idx="91">
                  <c:v>1.3008232511416784</c:v>
                </c:pt>
                <c:pt idx="92">
                  <c:v>1.3582840207732345</c:v>
                </c:pt>
                <c:pt idx="93">
                  <c:v>1.4153310439340703</c:v>
                </c:pt>
                <c:pt idx="94">
                  <c:v>1.4719469435483039</c:v>
                </c:pt>
                <c:pt idx="95">
                  <c:v>1.5281144738644628</c:v>
                </c:pt>
                <c:pt idx="96">
                  <c:v>1.5838165257087051</c:v>
                </c:pt>
                <c:pt idx="97">
                  <c:v>1.6390361316964408</c:v>
                </c:pt>
                <c:pt idx="98">
                  <c:v>1.6937564714007629</c:v>
                </c:pt>
                <c:pt idx="99">
                  <c:v>1.747960876476109</c:v>
                </c:pt>
                <c:pt idx="100">
                  <c:v>1.8016328357356031</c:v>
                </c:pt>
                <c:pt idx="101">
                  <c:v>1.8547560001805228</c:v>
                </c:pt>
                <c:pt idx="102">
                  <c:v>1.9073141879803628</c:v>
                </c:pt>
                <c:pt idx="103">
                  <c:v>1.9592913894019768</c:v>
                </c:pt>
                <c:pt idx="104">
                  <c:v>2.0106717716862965</c:v>
                </c:pt>
                <c:pt idx="105">
                  <c:v>2.0614396838711464</c:v>
                </c:pt>
                <c:pt idx="106">
                  <c:v>2.1115796615586735</c:v>
                </c:pt>
                <c:pt idx="107">
                  <c:v>2.1610764316259594</c:v>
                </c:pt>
                <c:pt idx="108">
                  <c:v>2.209914916877354</c:v>
                </c:pt>
                <c:pt idx="109">
                  <c:v>2.2580802406371414</c:v>
                </c:pt>
                <c:pt idx="110">
                  <c:v>2.3055577312811169</c:v>
                </c:pt>
                <c:pt idx="111">
                  <c:v>2.3523329267057038</c:v>
                </c:pt>
                <c:pt idx="112">
                  <c:v>2.3983915787332561</c:v>
                </c:pt>
                <c:pt idx="113">
                  <c:v>2.4437196574521853</c:v>
                </c:pt>
                <c:pt idx="114">
                  <c:v>2.4883033554906104</c:v>
                </c:pt>
                <c:pt idx="115">
                  <c:v>2.5321290922222168</c:v>
                </c:pt>
                <c:pt idx="116">
                  <c:v>2.5751835179030484</c:v>
                </c:pt>
                <c:pt idx="117">
                  <c:v>2.6174535177379621</c:v>
                </c:pt>
                <c:pt idx="118">
                  <c:v>2.6589262158755327</c:v>
                </c:pt>
                <c:pt idx="119">
                  <c:v>2.6995889793301497</c:v>
                </c:pt>
                <c:pt idx="120">
                  <c:v>2.7394294218301578</c:v>
                </c:pt>
                <c:pt idx="121">
                  <c:v>2.7784354075908286</c:v>
                </c:pt>
                <c:pt idx="122">
                  <c:v>2.8165950550110375</c:v>
                </c:pt>
                <c:pt idx="123">
                  <c:v>2.8538967402925222</c:v>
                </c:pt>
                <c:pt idx="124">
                  <c:v>2.890329100980594</c:v>
                </c:pt>
                <c:pt idx="125">
                  <c:v>2.9258810394252617</c:v>
                </c:pt>
                <c:pt idx="126">
                  <c:v>2.9605417261616731</c:v>
                </c:pt>
                <c:pt idx="127">
                  <c:v>2.9943006032088859</c:v>
                </c:pt>
                <c:pt idx="128">
                  <c:v>3.0271473872859191</c:v>
                </c:pt>
                <c:pt idx="129">
                  <c:v>3.059072072944149</c:v>
                </c:pt>
                <c:pt idx="130">
                  <c:v>3.0900649356150645</c:v>
                </c:pt>
                <c:pt idx="131">
                  <c:v>3.1201165345724595</c:v>
                </c:pt>
                <c:pt idx="132">
                  <c:v>3.1492177158081773</c:v>
                </c:pt>
                <c:pt idx="133">
                  <c:v>3.1773596148205017</c:v>
                </c:pt>
                <c:pt idx="134">
                  <c:v>3.2045336593143787</c:v>
                </c:pt>
                <c:pt idx="135">
                  <c:v>3.2307315718126142</c:v>
                </c:pt>
                <c:pt idx="136">
                  <c:v>3.2559453721772758</c:v>
                </c:pt>
                <c:pt idx="137">
                  <c:v>3.2801673800405209</c:v>
                </c:pt>
                <c:pt idx="138">
                  <c:v>3.3033902171441105</c:v>
                </c:pt>
                <c:pt idx="139">
                  <c:v>3.3256068095868994</c:v>
                </c:pt>
                <c:pt idx="140">
                  <c:v>3.3468103899796109</c:v>
                </c:pt>
                <c:pt idx="141">
                  <c:v>3.3669944995062546</c:v>
                </c:pt>
                <c:pt idx="142">
                  <c:v>3.3861529898915408</c:v>
                </c:pt>
                <c:pt idx="143">
                  <c:v>3.4042800252737053</c:v>
                </c:pt>
                <c:pt idx="144">
                  <c:v>3.4213700839821697</c:v>
                </c:pt>
                <c:pt idx="145">
                  <c:v>3.4374179602194981</c:v>
                </c:pt>
                <c:pt idx="146">
                  <c:v>3.4524187656471268</c:v>
                </c:pt>
                <c:pt idx="147">
                  <c:v>3.4663679308744086</c:v>
                </c:pt>
                <c:pt idx="148">
                  <c:v>3.4792612068504858</c:v>
                </c:pt>
                <c:pt idx="149">
                  <c:v>3.4910946661585962</c:v>
                </c:pt>
                <c:pt idx="150">
                  <c:v>3.5018647042124016</c:v>
                </c:pt>
                <c:pt idx="151">
                  <c:v>3.511568040353978</c:v>
                </c:pt>
                <c:pt idx="152">
                  <c:v>3.5202017188531394</c:v>
                </c:pt>
                <c:pt idx="153">
                  <c:v>3.5277631098077782</c:v>
                </c:pt>
                <c:pt idx="154">
                  <c:v>3.534249909944962</c:v>
                </c:pt>
                <c:pt idx="155">
                  <c:v>3.5396601433225281</c:v>
                </c:pt>
                <c:pt idx="156">
                  <c:v>3.54399216193098</c:v>
                </c:pt>
                <c:pt idx="157">
                  <c:v>3.5472446461954861</c:v>
                </c:pt>
                <c:pt idx="158">
                  <c:v>3.5494166053778295</c:v>
                </c:pt>
                <c:pt idx="159">
                  <c:v>3.5505073778782039</c:v>
                </c:pt>
                <c:pt idx="160">
                  <c:v>3.5505166314367402</c:v>
                </c:pt>
                <c:pt idx="161">
                  <c:v>3.5494443632347132</c:v>
                </c:pt>
                <c:pt idx="162">
                  <c:v>3.5472908998954056</c:v>
                </c:pt>
                <c:pt idx="163">
                  <c:v>3.5440568973846109</c:v>
                </c:pt>
                <c:pt idx="164">
                  <c:v>3.5397433408108236</c:v>
                </c:pt>
                <c:pt idx="165">
                  <c:v>3.5343515441251609</c:v>
                </c:pt>
                <c:pt idx="166">
                  <c:v>3.5278831497211254</c:v>
                </c:pt>
                <c:pt idx="167">
                  <c:v>3.5203401279343138</c:v>
                </c:pt>
                <c:pt idx="168">
                  <c:v>3.5117247764422324</c:v>
                </c:pt>
                <c:pt idx="169">
                  <c:v>3.5020397195644057</c:v>
                </c:pt>
                <c:pt idx="170">
                  <c:v>3.4912879074629779</c:v>
                </c:pt>
                <c:pt idx="171">
                  <c:v>3.4794726152440725</c:v>
                </c:pt>
                <c:pt idx="172">
                  <c:v>3.4665974419601557</c:v>
                </c:pt>
                <c:pt idx="173">
                  <c:v>3.452666309513734</c:v>
                </c:pt>
                <c:pt idx="174">
                  <c:v>3.4376834614627048</c:v>
                </c:pt>
                <c:pt idx="175">
                  <c:v>3.4216534617277268</c:v>
                </c:pt>
                <c:pt idx="176">
                  <c:v>3.4045811932020054</c:v>
                </c:pt>
                <c:pt idx="177">
                  <c:v>3.3864718562639151</c:v>
                </c:pt>
                <c:pt idx="178">
                  <c:v>3.3673309671929186</c:v>
                </c:pt>
                <c:pt idx="179">
                  <c:v>3.3471643564892464</c:v>
                </c:pt>
                <c:pt idx="180">
                  <c:v>3.3259781670978792</c:v>
                </c:pt>
                <c:pt idx="181">
                  <c:v>3.3037788525373393</c:v>
                </c:pt>
                <c:pt idx="182">
                  <c:v>3.2805731749338931</c:v>
                </c:pt>
                <c:pt idx="183">
                  <c:v>3.2563682029617356</c:v>
                </c:pt>
                <c:pt idx="184">
                  <c:v>3.2311713096898087</c:v>
                </c:pt>
                <c:pt idx="185">
                  <c:v>3.2049901703358912</c:v>
                </c:pt>
                <c:pt idx="186">
                  <c:v>3.1778327599286516</c:v>
                </c:pt>
                <c:pt idx="187">
                  <c:v>3.1497073508783826</c:v>
                </c:pt>
                <c:pt idx="188">
                  <c:v>3.1206225104571335</c:v>
                </c:pt>
                <c:pt idx="189">
                  <c:v>3.0905870981890513</c:v>
                </c:pt>
                <c:pt idx="190">
                  <c:v>3.0596102631516704</c:v>
                </c:pt>
                <c:pt idx="191">
                  <c:v>3.0277014411890244</c:v>
                </c:pt>
                <c:pt idx="192">
                  <c:v>2.9948703520373887</c:v>
                </c:pt>
                <c:pt idx="193">
                  <c:v>2.9611269963645634</c:v>
                </c:pt>
                <c:pt idx="194">
                  <c:v>2.9264816527235631</c:v>
                </c:pt>
                <c:pt idx="195">
                  <c:v>2.8909448744216792</c:v>
                </c:pt>
                <c:pt idx="196">
                  <c:v>2.8545274863058343</c:v>
                </c:pt>
                <c:pt idx="197">
                  <c:v>2.8172405814652315</c:v>
                </c:pt>
                <c:pt idx="198">
                  <c:v>2.7790955178522934</c:v>
                </c:pt>
                <c:pt idx="199">
                  <c:v>2.7401039148229129</c:v>
                </c:pt>
                <c:pt idx="200">
                  <c:v>2.7002776495970964</c:v>
                </c:pt>
                <c:pt idx="201">
                  <c:v>2.6596288536410344</c:v>
                </c:pt>
                <c:pt idx="202">
                  <c:v>2.6181699089717512</c:v>
                </c:pt>
                <c:pt idx="203">
                  <c:v>2.5759134443854137</c:v>
                </c:pt>
                <c:pt idx="204">
                  <c:v>2.5328723316104811</c:v>
                </c:pt>
                <c:pt idx="205">
                  <c:v>2.489059681386856</c:v>
                </c:pt>
                <c:pt idx="206">
                  <c:v>2.4444888394722173</c:v>
                </c:pt>
                <c:pt idx="207">
                  <c:v>2.3991733825767807</c:v>
                </c:pt>
                <c:pt idx="208">
                  <c:v>2.3531271142276959</c:v>
                </c:pt>
                <c:pt idx="209">
                  <c:v>2.3063640605643654</c:v>
                </c:pt>
                <c:pt idx="210">
                  <c:v>2.2588984660659337</c:v>
                </c:pt>
                <c:pt idx="211">
                  <c:v>2.2107447892123</c:v>
                </c:pt>
                <c:pt idx="212">
                  <c:v>2.1619176980799057</c:v>
                </c:pt>
                <c:pt idx="213">
                  <c:v>2.1124320658737088</c:v>
                </c:pt>
                <c:pt idx="214">
                  <c:v>2.0623029663966586</c:v>
                </c:pt>
                <c:pt idx="215">
                  <c:v>2.0115456694580653</c:v>
                </c:pt>
                <c:pt idx="216">
                  <c:v>1.960175636222276</c:v>
                </c:pt>
                <c:pt idx="217">
                  <c:v>1.9082085144990444</c:v>
                </c:pt>
                <c:pt idx="218">
                  <c:v>1.8556601339770666</c:v>
                </c:pt>
                <c:pt idx="219">
                  <c:v>1.8025465014020947</c:v>
                </c:pt>
                <c:pt idx="220">
                  <c:v>1.7488837957011367</c:v>
                </c:pt>
                <c:pt idx="221">
                  <c:v>1.6946883630541909</c:v>
                </c:pt>
                <c:pt idx="222">
                  <c:v>1.6399767119150428</c:v>
                </c:pt>
                <c:pt idx="223">
                  <c:v>1.5847655079826346</c:v>
                </c:pt>
                <c:pt idx="224">
                  <c:v>1.529071569124526</c:v>
                </c:pt>
                <c:pt idx="225">
                  <c:v>1.4729118602540152</c:v>
                </c:pt>
                <c:pt idx="226">
                  <c:v>1.416303488162451</c:v>
                </c:pt>
                <c:pt idx="227">
                  <c:v>1.3592636963083544</c:v>
                </c:pt>
                <c:pt idx="228">
                  <c:v>1.3018098595648779</c:v>
                </c:pt>
                <c:pt idx="229">
                  <c:v>1.2439594789272634</c:v>
                </c:pt>
                <c:pt idx="230">
                  <c:v>1.1857301761818624</c:v>
                </c:pt>
                <c:pt idx="231">
                  <c:v>1.12713968853837</c:v>
                </c:pt>
                <c:pt idx="232">
                  <c:v>1.0682058632268987</c:v>
                </c:pt>
                <c:pt idx="233">
                  <c:v>1.0089466520615487</c:v>
                </c:pt>
                <c:pt idx="234">
                  <c:v>0.94938010597209499</c:v>
                </c:pt>
                <c:pt idx="235">
                  <c:v>0.88952436950551061</c:v>
                </c:pt>
                <c:pt idx="236">
                  <c:v>0.82939767529895581</c:v>
                </c:pt>
                <c:pt idx="237">
                  <c:v>0.76901833852595236</c:v>
                </c:pt>
                <c:pt idx="238">
                  <c:v>0.70840475131738589</c:v>
                </c:pt>
                <c:pt idx="239">
                  <c:v>0.64757537715909752</c:v>
                </c:pt>
                <c:pt idx="240">
                  <c:v>0.58654874526772249</c:v>
                </c:pt>
                <c:pt idx="241">
                  <c:v>0.52534344494651064</c:v>
                </c:pt>
                <c:pt idx="242">
                  <c:v>0.46397811992285498</c:v>
                </c:pt>
                <c:pt idx="243">
                  <c:v>0.40247146266921408</c:v>
                </c:pt>
                <c:pt idx="244">
                  <c:v>0.34084220870921561</c:v>
                </c:pt>
                <c:pt idx="245">
                  <c:v>0.27910913091062817</c:v>
                </c:pt>
                <c:pt idx="246">
                  <c:v>0.21729103376697734</c:v>
                </c:pt>
                <c:pt idx="247">
                  <c:v>0.15540674766949647</c:v>
                </c:pt>
                <c:pt idx="248">
                  <c:v>9.3475123171216104E-2</c:v>
                </c:pt>
                <c:pt idx="249">
                  <c:v>3.1515025244903683E-2</c:v>
                </c:pt>
                <c:pt idx="250">
                  <c:v>-3.0454672463394061E-2</c:v>
                </c:pt>
                <c:pt idx="251">
                  <c:v>-9.2415093383435565E-2</c:v>
                </c:pt>
                <c:pt idx="252">
                  <c:v>-0.15434736377078706</c:v>
                </c:pt>
                <c:pt idx="253">
                  <c:v>-0.21623261845593766</c:v>
                </c:pt>
                <c:pt idx="254">
                  <c:v>-0.2780520065908173</c:v>
                </c:pt>
                <c:pt idx="255">
                  <c:v>-0.33978669739093603</c:v>
                </c:pt>
                <c:pt idx="256">
                  <c:v>-0.40141788587144178</c:v>
                </c:pt>
                <c:pt idx="257">
                  <c:v>-0.46292679857528851</c:v>
                </c:pt>
                <c:pt idx="258">
                  <c:v>-0.52429469929181671</c:v>
                </c:pt>
                <c:pt idx="259">
                  <c:v>-0.58550289476398709</c:v>
                </c:pt>
                <c:pt idx="260">
                  <c:v>-0.6465327403825154</c:v>
                </c:pt>
                <c:pt idx="261">
                  <c:v>-0.70736564586521977</c:v>
                </c:pt>
                <c:pt idx="262">
                  <c:v>-0.76798308091978873</c:v>
                </c:pt>
                <c:pt idx="263">
                  <c:v>-0.82836658088829351</c:v>
                </c:pt>
                <c:pt idx="264">
                  <c:v>-0.88849775237168915</c:v>
                </c:pt>
                <c:pt idx="265">
                  <c:v>-0.94835827883264157</c:v>
                </c:pt>
                <c:pt idx="266">
                  <c:v>-1.0079299261749086</c:v>
                </c:pt>
                <c:pt idx="267">
                  <c:v>-1.0671945482976264</c:v>
                </c:pt>
                <c:pt idx="268">
                  <c:v>-1.1261340926227901</c:v>
                </c:pt>
                <c:pt idx="269">
                  <c:v>-1.1847306055942317</c:v>
                </c:pt>
                <c:pt idx="270">
                  <c:v>-1.2429662381464661</c:v>
                </c:pt>
                <c:pt idx="271">
                  <c:v>-1.3008232511416773</c:v>
                </c:pt>
                <c:pt idx="272">
                  <c:v>-1.3582840207732356</c:v>
                </c:pt>
                <c:pt idx="273">
                  <c:v>-1.4153310439340707</c:v>
                </c:pt>
                <c:pt idx="274">
                  <c:v>-1.4719469435483037</c:v>
                </c:pt>
                <c:pt idx="275">
                  <c:v>-1.5281144738644616</c:v>
                </c:pt>
                <c:pt idx="276">
                  <c:v>-1.5838165257087033</c:v>
                </c:pt>
                <c:pt idx="277">
                  <c:v>-1.6390361316964417</c:v>
                </c:pt>
                <c:pt idx="278">
                  <c:v>-1.6937564714007634</c:v>
                </c:pt>
                <c:pt idx="279">
                  <c:v>-1.7479608764761085</c:v>
                </c:pt>
                <c:pt idx="280">
                  <c:v>-1.8016328357356017</c:v>
                </c:pt>
                <c:pt idx="281">
                  <c:v>-1.8547560001805237</c:v>
                </c:pt>
                <c:pt idx="282">
                  <c:v>-1.9073141879803628</c:v>
                </c:pt>
                <c:pt idx="283">
                  <c:v>-1.9592913894019763</c:v>
                </c:pt>
                <c:pt idx="284">
                  <c:v>-2.0106717716862956</c:v>
                </c:pt>
                <c:pt idx="285">
                  <c:v>-2.0614396838711446</c:v>
                </c:pt>
                <c:pt idx="286">
                  <c:v>-2.1115796615586744</c:v>
                </c:pt>
                <c:pt idx="287">
                  <c:v>-2.1610764316259594</c:v>
                </c:pt>
                <c:pt idx="288">
                  <c:v>-2.2099149168773535</c:v>
                </c:pt>
                <c:pt idx="289">
                  <c:v>-2.258080240637141</c:v>
                </c:pt>
                <c:pt idx="290">
                  <c:v>-2.3055577312811173</c:v>
                </c:pt>
                <c:pt idx="291">
                  <c:v>-2.3523329267057047</c:v>
                </c:pt>
                <c:pt idx="292">
                  <c:v>-2.3983915787332561</c:v>
                </c:pt>
                <c:pt idx="293">
                  <c:v>-2.4437196574521844</c:v>
                </c:pt>
                <c:pt idx="294">
                  <c:v>-2.4883033554906091</c:v>
                </c:pt>
                <c:pt idx="295">
                  <c:v>-2.5321290922222177</c:v>
                </c:pt>
                <c:pt idx="296">
                  <c:v>-2.575183517903048</c:v>
                </c:pt>
                <c:pt idx="297">
                  <c:v>-2.6174535177379621</c:v>
                </c:pt>
                <c:pt idx="298">
                  <c:v>-2.6589262158755318</c:v>
                </c:pt>
                <c:pt idx="299">
                  <c:v>-2.6995889793301506</c:v>
                </c:pt>
                <c:pt idx="300">
                  <c:v>-2.7394294218301587</c:v>
                </c:pt>
                <c:pt idx="301">
                  <c:v>-2.7784354075908277</c:v>
                </c:pt>
                <c:pt idx="302">
                  <c:v>-2.816595055011037</c:v>
                </c:pt>
                <c:pt idx="303">
                  <c:v>-2.8538967402925208</c:v>
                </c:pt>
                <c:pt idx="304">
                  <c:v>-2.8903291009805949</c:v>
                </c:pt>
                <c:pt idx="305">
                  <c:v>-2.9258810394252617</c:v>
                </c:pt>
                <c:pt idx="306">
                  <c:v>-2.9605417261616731</c:v>
                </c:pt>
                <c:pt idx="307">
                  <c:v>-2.994300603208885</c:v>
                </c:pt>
                <c:pt idx="308">
                  <c:v>-3.0271473872859191</c:v>
                </c:pt>
                <c:pt idx="309">
                  <c:v>-3.059072072944149</c:v>
                </c:pt>
                <c:pt idx="310">
                  <c:v>-3.0900649356150645</c:v>
                </c:pt>
                <c:pt idx="311">
                  <c:v>-3.1201165345724595</c:v>
                </c:pt>
                <c:pt idx="312">
                  <c:v>-3.1492177158081764</c:v>
                </c:pt>
                <c:pt idx="313">
                  <c:v>-3.1773596148205021</c:v>
                </c:pt>
                <c:pt idx="314">
                  <c:v>-3.2045336593143787</c:v>
                </c:pt>
                <c:pt idx="315">
                  <c:v>-3.2307315718126137</c:v>
                </c:pt>
                <c:pt idx="316">
                  <c:v>-3.2559453721772753</c:v>
                </c:pt>
                <c:pt idx="317">
                  <c:v>-3.2801673800405213</c:v>
                </c:pt>
                <c:pt idx="318">
                  <c:v>-3.3033902171441114</c:v>
                </c:pt>
                <c:pt idx="319">
                  <c:v>-3.3256068095868994</c:v>
                </c:pt>
                <c:pt idx="320">
                  <c:v>-3.3468103899796109</c:v>
                </c:pt>
                <c:pt idx="321">
                  <c:v>-3.3669944995062542</c:v>
                </c:pt>
                <c:pt idx="322">
                  <c:v>-3.3861529898915408</c:v>
                </c:pt>
                <c:pt idx="323">
                  <c:v>-3.4042800252737049</c:v>
                </c:pt>
                <c:pt idx="324">
                  <c:v>-3.4213700839821697</c:v>
                </c:pt>
                <c:pt idx="325">
                  <c:v>-3.4374179602194976</c:v>
                </c:pt>
                <c:pt idx="326">
                  <c:v>-3.4524187656471272</c:v>
                </c:pt>
                <c:pt idx="327">
                  <c:v>-3.4663679308744086</c:v>
                </c:pt>
                <c:pt idx="328">
                  <c:v>-3.4792612068504862</c:v>
                </c:pt>
                <c:pt idx="329">
                  <c:v>-3.4910946661585962</c:v>
                </c:pt>
                <c:pt idx="330">
                  <c:v>-3.5018647042124007</c:v>
                </c:pt>
                <c:pt idx="331">
                  <c:v>-3.511568040353978</c:v>
                </c:pt>
                <c:pt idx="332">
                  <c:v>-3.5202017188531389</c:v>
                </c:pt>
                <c:pt idx="333">
                  <c:v>-3.5277631098077782</c:v>
                </c:pt>
                <c:pt idx="334">
                  <c:v>-3.5342499099449616</c:v>
                </c:pt>
                <c:pt idx="335">
                  <c:v>-3.5396601433225277</c:v>
                </c:pt>
                <c:pt idx="336">
                  <c:v>-3.5439921619309809</c:v>
                </c:pt>
                <c:pt idx="337">
                  <c:v>-3.5472446461954856</c:v>
                </c:pt>
                <c:pt idx="338">
                  <c:v>-3.5494166053778295</c:v>
                </c:pt>
                <c:pt idx="339">
                  <c:v>-3.5505073778782039</c:v>
                </c:pt>
                <c:pt idx="340">
                  <c:v>-3.5505166314367398</c:v>
                </c:pt>
                <c:pt idx="341">
                  <c:v>-3.5494443632347132</c:v>
                </c:pt>
                <c:pt idx="342">
                  <c:v>-3.5472908998954056</c:v>
                </c:pt>
                <c:pt idx="343">
                  <c:v>-3.5440568973846109</c:v>
                </c:pt>
                <c:pt idx="344">
                  <c:v>-3.5397433408108232</c:v>
                </c:pt>
                <c:pt idx="345">
                  <c:v>-3.5343515441251609</c:v>
                </c:pt>
                <c:pt idx="346">
                  <c:v>-3.5278831497211258</c:v>
                </c:pt>
                <c:pt idx="347">
                  <c:v>-3.5203401279343138</c:v>
                </c:pt>
                <c:pt idx="348">
                  <c:v>-3.5117247764422332</c:v>
                </c:pt>
                <c:pt idx="349">
                  <c:v>-3.5020397195644053</c:v>
                </c:pt>
                <c:pt idx="350">
                  <c:v>-3.4912879074629783</c:v>
                </c:pt>
                <c:pt idx="351">
                  <c:v>-3.4794726152440725</c:v>
                </c:pt>
                <c:pt idx="352">
                  <c:v>-3.4665974419601562</c:v>
                </c:pt>
                <c:pt idx="353">
                  <c:v>-3.452666309513734</c:v>
                </c:pt>
                <c:pt idx="354">
                  <c:v>-3.4376834614627043</c:v>
                </c:pt>
                <c:pt idx="355">
                  <c:v>-3.4216534617277272</c:v>
                </c:pt>
                <c:pt idx="356">
                  <c:v>-3.4045811932020054</c:v>
                </c:pt>
                <c:pt idx="357">
                  <c:v>-3.386471856263916</c:v>
                </c:pt>
                <c:pt idx="358">
                  <c:v>-3.3673309671929181</c:v>
                </c:pt>
                <c:pt idx="359">
                  <c:v>-3.3471643564892464</c:v>
                </c:pt>
                <c:pt idx="360">
                  <c:v>-3.3259781670978796</c:v>
                </c:pt>
              </c:numCache>
            </c:numRef>
          </c:xVal>
          <c:yVal>
            <c:numRef>
              <c:f>'Failure surface'!$J$4:$J$364</c:f>
              <c:numCache>
                <c:formatCode>0.00</c:formatCode>
                <c:ptCount val="361"/>
                <c:pt idx="0">
                  <c:v>2.8477327578185596</c:v>
                </c:pt>
                <c:pt idx="1">
                  <c:v>2.8483124667736242</c:v>
                </c:pt>
                <c:pt idx="2">
                  <c:v>2.8480245521590875</c:v>
                </c:pt>
                <c:pt idx="3">
                  <c:v>2.8468691016765297</c:v>
                </c:pt>
                <c:pt idx="4">
                  <c:v>2.8448464672873608</c:v>
                </c:pt>
                <c:pt idx="5">
                  <c:v>2.8419572651056102</c:v>
                </c:pt>
                <c:pt idx="6">
                  <c:v>2.8382023752102499</c:v>
                </c:pt>
                <c:pt idx="7">
                  <c:v>2.8335829413771161</c:v>
                </c:pt>
                <c:pt idx="8">
                  <c:v>2.8281003707305055</c:v>
                </c:pt>
                <c:pt idx="9">
                  <c:v>2.8217563333145463</c:v>
                </c:pt>
                <c:pt idx="10">
                  <c:v>2.8145527615844923</c:v>
                </c:pt>
                <c:pt idx="11">
                  <c:v>2.8064918498180749</c:v>
                </c:pt>
                <c:pt idx="12">
                  <c:v>2.7975760534471061</c:v>
                </c:pt>
                <c:pt idx="13">
                  <c:v>2.7878080883095291</c:v>
                </c:pt>
                <c:pt idx="14">
                  <c:v>2.77719092982215</c:v>
                </c:pt>
                <c:pt idx="15">
                  <c:v>2.7657278120742945</c:v>
                </c:pt>
                <c:pt idx="16">
                  <c:v>2.7534222268426745</c:v>
                </c:pt>
                <c:pt idx="17">
                  <c:v>2.7402779225277567</c:v>
                </c:pt>
                <c:pt idx="18">
                  <c:v>2.72629890301197</c:v>
                </c:pt>
                <c:pt idx="19">
                  <c:v>2.7114894264400755</c:v>
                </c:pt>
                <c:pt idx="20">
                  <c:v>2.6958540039220988</c:v>
                </c:pt>
                <c:pt idx="21">
                  <c:v>2.6793973981592036</c:v>
                </c:pt>
                <c:pt idx="22">
                  <c:v>2.6621246219929238</c:v>
                </c:pt>
                <c:pt idx="23">
                  <c:v>2.6440409368782043</c:v>
                </c:pt>
                <c:pt idx="24">
                  <c:v>2.6251518512807119</c:v>
                </c:pt>
                <c:pt idx="25">
                  <c:v>2.6054631189989026</c:v>
                </c:pt>
                <c:pt idx="26">
                  <c:v>2.5849807374113585</c:v>
                </c:pt>
                <c:pt idx="27">
                  <c:v>2.5637109456499276</c:v>
                </c:pt>
                <c:pt idx="28">
                  <c:v>2.5416602226992269</c:v>
                </c:pt>
                <c:pt idx="29">
                  <c:v>2.518835285423076</c:v>
                </c:pt>
                <c:pt idx="30">
                  <c:v>2.4952430865184803</c:v>
                </c:pt>
                <c:pt idx="31">
                  <c:v>2.4708908123977684</c:v>
                </c:pt>
                <c:pt idx="32">
                  <c:v>2.445785880999543</c:v>
                </c:pt>
                <c:pt idx="33">
                  <c:v>2.4199359395291058</c:v>
                </c:pt>
                <c:pt idx="34">
                  <c:v>2.393348862129042</c:v>
                </c:pt>
                <c:pt idx="35">
                  <c:v>2.3660327474806828</c:v>
                </c:pt>
                <c:pt idx="36">
                  <c:v>2.3379959163371669</c:v>
                </c:pt>
                <c:pt idx="37">
                  <c:v>2.3092469089888601</c:v>
                </c:pt>
                <c:pt idx="38">
                  <c:v>2.279794482661897</c:v>
                </c:pt>
                <c:pt idx="39">
                  <c:v>2.2496476088506512</c:v>
                </c:pt>
                <c:pt idx="40">
                  <c:v>2.2188154705849237</c:v>
                </c:pt>
                <c:pt idx="41">
                  <c:v>2.1873074596327076</c:v>
                </c:pt>
                <c:pt idx="42">
                  <c:v>2.1551331736393644</c:v>
                </c:pt>
                <c:pt idx="43">
                  <c:v>2.1223024132040864</c:v>
                </c:pt>
                <c:pt idx="44">
                  <c:v>2.0888251788945418</c:v>
                </c:pt>
                <c:pt idx="45">
                  <c:v>2.0547116682006017</c:v>
                </c:pt>
                <c:pt idx="46">
                  <c:v>2.0199722724280886</c:v>
                </c:pt>
                <c:pt idx="47">
                  <c:v>1.9846175735334841</c:v>
                </c:pt>
                <c:pt idx="48">
                  <c:v>1.9486583409005587</c:v>
                </c:pt>
                <c:pt idx="49">
                  <c:v>1.9121055280599173</c:v>
                </c:pt>
                <c:pt idx="50">
                  <c:v>1.8749702693524473</c:v>
                </c:pt>
                <c:pt idx="51">
                  <c:v>1.8372638765376872</c:v>
                </c:pt>
                <c:pt idx="52">
                  <c:v>1.7989978353481595</c:v>
                </c:pt>
                <c:pt idx="53">
                  <c:v>1.7601838019907006</c:v>
                </c:pt>
                <c:pt idx="54">
                  <c:v>1.7208335995958726</c:v>
                </c:pt>
                <c:pt idx="55">
                  <c:v>1.6809592146165184</c:v>
                </c:pt>
                <c:pt idx="56">
                  <c:v>1.6405727931765735</c:v>
                </c:pt>
                <c:pt idx="57">
                  <c:v>1.5996866373712422</c:v>
                </c:pt>
                <c:pt idx="58">
                  <c:v>1.558313201519655</c:v>
                </c:pt>
                <c:pt idx="59">
                  <c:v>1.5164650883711659</c:v>
                </c:pt>
                <c:pt idx="60">
                  <c:v>1.4741550452664325</c:v>
                </c:pt>
                <c:pt idx="61">
                  <c:v>1.4313959602544499</c:v>
                </c:pt>
                <c:pt idx="62">
                  <c:v>1.3882008581667296</c:v>
                </c:pt>
                <c:pt idx="63">
                  <c:v>1.3445828966498079</c:v>
                </c:pt>
                <c:pt idx="64">
                  <c:v>1.3005553621573001</c:v>
                </c:pt>
                <c:pt idx="65">
                  <c:v>1.2561316659027162</c:v>
                </c:pt>
                <c:pt idx="66">
                  <c:v>1.2113253397742776</c:v>
                </c:pt>
                <c:pt idx="67">
                  <c:v>1.1661500322129719</c:v>
                </c:pt>
                <c:pt idx="68">
                  <c:v>1.1206195040551048</c:v>
                </c:pt>
                <c:pt idx="69">
                  <c:v>1.0747476243406182</c:v>
                </c:pt>
                <c:pt idx="70">
                  <c:v>1.0285483660884434</c:v>
                </c:pt>
                <c:pt idx="71">
                  <c:v>0.98203580204018581</c:v>
                </c:pt>
                <c:pt idx="72">
                  <c:v>0.93522410037343229</c:v>
                </c:pt>
                <c:pt idx="73">
                  <c:v>0.88812752038598608</c:v>
                </c:pt>
                <c:pt idx="74">
                  <c:v>0.84076040815234554</c:v>
                </c:pt>
                <c:pt idx="75">
                  <c:v>0.793137192153753</c:v>
                </c:pt>
                <c:pt idx="76">
                  <c:v>0.7452723788831378</c:v>
                </c:pt>
                <c:pt idx="77">
                  <c:v>0.69718054842629928</c:v>
                </c:pt>
                <c:pt idx="78">
                  <c:v>0.64887635002067112</c:v>
                </c:pt>
                <c:pt idx="79">
                  <c:v>0.60037449759301942</c:v>
                </c:pt>
                <c:pt idx="80">
                  <c:v>0.55168976527744285</c:v>
                </c:pt>
                <c:pt idx="81">
                  <c:v>0.50283698291502388</c:v>
                </c:pt>
                <c:pt idx="82">
                  <c:v>0.45383103153651771</c:v>
                </c:pt>
                <c:pt idx="83">
                  <c:v>0.40468683882944578</c:v>
                </c:pt>
                <c:pt idx="84">
                  <c:v>0.35541937459097689</c:v>
                </c:pt>
                <c:pt idx="85">
                  <c:v>0.30604364616798274</c:v>
                </c:pt>
                <c:pt idx="86">
                  <c:v>0.2565746938856544</c:v>
                </c:pt>
                <c:pt idx="87">
                  <c:v>0.20702758646607436</c:v>
                </c:pt>
                <c:pt idx="88">
                  <c:v>0.15741741643813481</c:v>
                </c:pt>
                <c:pt idx="89">
                  <c:v>0.10775929554021148</c:v>
                </c:pt>
                <c:pt idx="90">
                  <c:v>5.8068350116978834E-2</c:v>
                </c:pt>
                <c:pt idx="91">
                  <c:v>8.3597165117798179E-3</c:v>
                </c:pt>
                <c:pt idx="92">
                  <c:v>-4.1351463544051059E-2</c:v>
                </c:pt>
                <c:pt idx="93">
                  <c:v>-9.1050047543505833E-2</c:v>
                </c:pt>
                <c:pt idx="94">
                  <c:v>-0.14072089681645719</c:v>
                </c:pt>
                <c:pt idx="95">
                  <c:v>-0.19034888114104434</c:v>
                </c:pt>
                <c:pt idx="96">
                  <c:v>-0.2399188833524849</c:v>
                </c:pt>
                <c:pt idx="97">
                  <c:v>-0.28941580394790933</c:v>
                </c:pt>
                <c:pt idx="98">
                  <c:v>-0.33882456568581792</c:v>
                </c:pt>
                <c:pt idx="99">
                  <c:v>-0.38813011817875137</c:v>
                </c:pt>
                <c:pt idx="100">
                  <c:v>-0.4373174424777867</c:v>
                </c:pt>
                <c:pt idx="101">
                  <c:v>-0.48637155564745416</c:v>
                </c:pt>
                <c:pt idx="102">
                  <c:v>-0.53527751532968426</c:v>
                </c:pt>
                <c:pt idx="103">
                  <c:v>-0.58402042429539525</c:v>
                </c:pt>
                <c:pt idx="104">
                  <c:v>-0.63258543498233288</c:v>
                </c:pt>
                <c:pt idx="105">
                  <c:v>-0.68095775401778236</c:v>
                </c:pt>
                <c:pt idx="106">
                  <c:v>-0.72912264672477112</c:v>
                </c:pt>
                <c:pt idx="107">
                  <c:v>-0.77706544161039914</c:v>
                </c:pt>
                <c:pt idx="108">
                  <c:v>-0.82477153483491006</c:v>
                </c:pt>
                <c:pt idx="109">
                  <c:v>-0.87222639466016938</c:v>
                </c:pt>
                <c:pt idx="110">
                  <c:v>-0.91941556587616813</c:v>
                </c:pt>
                <c:pt idx="111">
                  <c:v>-0.96632467420422252</c:v>
                </c:pt>
                <c:pt idx="112">
                  <c:v>-1.0129394306755171</c:v>
                </c:pt>
                <c:pt idx="113">
                  <c:v>-1.0592456359836631</c:v>
                </c:pt>
                <c:pt idx="114">
                  <c:v>-1.1052291848099458</c:v>
                </c:pt>
                <c:pt idx="115">
                  <c:v>-1.1508760701199392</c:v>
                </c:pt>
                <c:pt idx="116">
                  <c:v>-1.1961723874301884</c:v>
                </c:pt>
                <c:pt idx="117">
                  <c:v>-1.2411043390436427</c:v>
                </c:pt>
                <c:pt idx="118">
                  <c:v>-1.2856582382525785</c:v>
                </c:pt>
                <c:pt idx="119">
                  <c:v>-1.3298205135076899</c:v>
                </c:pt>
                <c:pt idx="120">
                  <c:v>-1.3735777125521262</c:v>
                </c:pt>
                <c:pt idx="121">
                  <c:v>-1.4169165065191747</c:v>
                </c:pt>
                <c:pt idx="122">
                  <c:v>-1.4598236939923577</c:v>
                </c:pt>
                <c:pt idx="123">
                  <c:v>-1.5022862050267218</c:v>
                </c:pt>
                <c:pt idx="124">
                  <c:v>-1.5442911051300605</c:v>
                </c:pt>
                <c:pt idx="125">
                  <c:v>-1.5858255992028942</c:v>
                </c:pt>
                <c:pt idx="126">
                  <c:v>-1.6268770354359716</c:v>
                </c:pt>
                <c:pt idx="127">
                  <c:v>-1.6674329091641449</c:v>
                </c:pt>
                <c:pt idx="128">
                  <c:v>-1.7074808666754004</c:v>
                </c:pt>
                <c:pt idx="129">
                  <c:v>-1.7470087089739281</c:v>
                </c:pt>
                <c:pt idx="130">
                  <c:v>-1.7860043954960501</c:v>
                </c:pt>
                <c:pt idx="131">
                  <c:v>-1.8244560477778897</c:v>
                </c:pt>
                <c:pt idx="132">
                  <c:v>-1.8623519530736738</c:v>
                </c:pt>
                <c:pt idx="133">
                  <c:v>-1.8996805679235429</c:v>
                </c:pt>
                <c:pt idx="134">
                  <c:v>-1.9364305216698046</c:v>
                </c:pt>
                <c:pt idx="135">
                  <c:v>-1.9725906199205412</c:v>
                </c:pt>
                <c:pt idx="136">
                  <c:v>-2.0081498479595359</c:v>
                </c:pt>
                <c:pt idx="137">
                  <c:v>-2.0430973741014578</c:v>
                </c:pt>
                <c:pt idx="138">
                  <c:v>-2.0774225529912989</c:v>
                </c:pt>
                <c:pt idx="139">
                  <c:v>-2.1111149288470563</c:v>
                </c:pt>
                <c:pt idx="140">
                  <c:v>-2.144164238644656</c:v>
                </c:pt>
                <c:pt idx="141">
                  <c:v>-2.1765604152441798</c:v>
                </c:pt>
                <c:pt idx="142">
                  <c:v>-2.2082935904564054</c:v>
                </c:pt>
                <c:pt idx="143">
                  <c:v>-2.2393540980487585</c:v>
                </c:pt>
                <c:pt idx="144">
                  <c:v>-2.2697324766897347</c:v>
                </c:pt>
                <c:pt idx="145">
                  <c:v>-2.2994194728309201</c:v>
                </c:pt>
                <c:pt idx="146">
                  <c:v>-2.3284060435257037</c:v>
                </c:pt>
                <c:pt idx="147">
                  <c:v>-2.3566833591838536</c:v>
                </c:pt>
                <c:pt idx="148">
                  <c:v>-2.3842428062610921</c:v>
                </c:pt>
                <c:pt idx="149">
                  <c:v>-2.4110759898828653</c:v>
                </c:pt>
                <c:pt idx="150">
                  <c:v>-2.4371747364015017</c:v>
                </c:pt>
                <c:pt idx="151">
                  <c:v>-2.4625310958859887</c:v>
                </c:pt>
                <c:pt idx="152">
                  <c:v>-2.4871373445435943</c:v>
                </c:pt>
                <c:pt idx="153">
                  <c:v>-2.510985987072611</c:v>
                </c:pt>
                <c:pt idx="154">
                  <c:v>-2.5340697589454995</c:v>
                </c:pt>
                <c:pt idx="155">
                  <c:v>-2.5563816286217267</c:v>
                </c:pt>
                <c:pt idx="156">
                  <c:v>-2.5779147996896512</c:v>
                </c:pt>
                <c:pt idx="157">
                  <c:v>-2.5986627129367696</c:v>
                </c:pt>
                <c:pt idx="158">
                  <c:v>-2.6186190483477154</c:v>
                </c:pt>
                <c:pt idx="159">
                  <c:v>-2.6377777270294027</c:v>
                </c:pt>
                <c:pt idx="160">
                  <c:v>-2.6561329130627107</c:v>
                </c:pt>
                <c:pt idx="161">
                  <c:v>-2.6736790152801619</c:v>
                </c:pt>
                <c:pt idx="162">
                  <c:v>-2.6904106889690489</c:v>
                </c:pt>
                <c:pt idx="163">
                  <c:v>-2.7063228374994819</c:v>
                </c:pt>
                <c:pt idx="164">
                  <c:v>-2.7214106138768743</c:v>
                </c:pt>
                <c:pt idx="165">
                  <c:v>-2.7356694222183835</c:v>
                </c:pt>
                <c:pt idx="166">
                  <c:v>-2.7490949191528604</c:v>
                </c:pt>
                <c:pt idx="167">
                  <c:v>-2.7616830151438831</c:v>
                </c:pt>
                <c:pt idx="168">
                  <c:v>-2.7734298757354687</c:v>
                </c:pt>
                <c:pt idx="169">
                  <c:v>-2.7843319227200864</c:v>
                </c:pt>
                <c:pt idx="170">
                  <c:v>-2.7943858352286153</c:v>
                </c:pt>
                <c:pt idx="171">
                  <c:v>-2.8035885507419089</c:v>
                </c:pt>
                <c:pt idx="172">
                  <c:v>-2.8119372660236763</c:v>
                </c:pt>
                <c:pt idx="173">
                  <c:v>-2.8194294379743634</c:v>
                </c:pt>
                <c:pt idx="174">
                  <c:v>-2.8260627844058179</c:v>
                </c:pt>
                <c:pt idx="175">
                  <c:v>-2.831835284736457</c:v>
                </c:pt>
                <c:pt idx="176">
                  <c:v>-2.8367451806067616</c:v>
                </c:pt>
                <c:pt idx="177">
                  <c:v>-2.8407909764148855</c:v>
                </c:pt>
                <c:pt idx="178">
                  <c:v>-2.8439714397722331</c:v>
                </c:pt>
                <c:pt idx="179">
                  <c:v>-2.8462856018788565</c:v>
                </c:pt>
                <c:pt idx="180">
                  <c:v>-2.8477327578185596</c:v>
                </c:pt>
                <c:pt idx="181">
                  <c:v>-2.8483124667736242</c:v>
                </c:pt>
                <c:pt idx="182">
                  <c:v>-2.8480245521590875</c:v>
                </c:pt>
                <c:pt idx="183">
                  <c:v>-2.8468691016765297</c:v>
                </c:pt>
                <c:pt idx="184">
                  <c:v>-2.8448464672873608</c:v>
                </c:pt>
                <c:pt idx="185">
                  <c:v>-2.8419572651056102</c:v>
                </c:pt>
                <c:pt idx="186">
                  <c:v>-2.8382023752102499</c:v>
                </c:pt>
                <c:pt idx="187">
                  <c:v>-2.8335829413771165</c:v>
                </c:pt>
                <c:pt idx="188">
                  <c:v>-2.8281003707305059</c:v>
                </c:pt>
                <c:pt idx="189">
                  <c:v>-2.8217563333145463</c:v>
                </c:pt>
                <c:pt idx="190">
                  <c:v>-2.8145527615844923</c:v>
                </c:pt>
                <c:pt idx="191">
                  <c:v>-2.8064918498180749</c:v>
                </c:pt>
                <c:pt idx="192">
                  <c:v>-2.7975760534471057</c:v>
                </c:pt>
                <c:pt idx="193">
                  <c:v>-2.7878080883095291</c:v>
                </c:pt>
                <c:pt idx="194">
                  <c:v>-2.77719092982215</c:v>
                </c:pt>
                <c:pt idx="195">
                  <c:v>-2.7657278120742945</c:v>
                </c:pt>
                <c:pt idx="196">
                  <c:v>-2.7534222268426745</c:v>
                </c:pt>
                <c:pt idx="197">
                  <c:v>-2.7402779225277567</c:v>
                </c:pt>
                <c:pt idx="198">
                  <c:v>-2.7262989030119704</c:v>
                </c:pt>
                <c:pt idx="199">
                  <c:v>-2.7114894264400751</c:v>
                </c:pt>
                <c:pt idx="200">
                  <c:v>-2.6958540039220988</c:v>
                </c:pt>
                <c:pt idx="201">
                  <c:v>-2.6793973981592036</c:v>
                </c:pt>
                <c:pt idx="202">
                  <c:v>-2.6621246219929238</c:v>
                </c:pt>
                <c:pt idx="203">
                  <c:v>-2.6440409368782043</c:v>
                </c:pt>
                <c:pt idx="204">
                  <c:v>-2.6251518512807119</c:v>
                </c:pt>
                <c:pt idx="205">
                  <c:v>-2.6054631189989026</c:v>
                </c:pt>
                <c:pt idx="206">
                  <c:v>-2.584980737411358</c:v>
                </c:pt>
                <c:pt idx="207">
                  <c:v>-2.5637109456499276</c:v>
                </c:pt>
                <c:pt idx="208">
                  <c:v>-2.5416602226992264</c:v>
                </c:pt>
                <c:pt idx="209">
                  <c:v>-2.5188352854230764</c:v>
                </c:pt>
                <c:pt idx="210">
                  <c:v>-2.4952430865184803</c:v>
                </c:pt>
                <c:pt idx="211">
                  <c:v>-2.4708908123977684</c:v>
                </c:pt>
                <c:pt idx="212">
                  <c:v>-2.4457858809995434</c:v>
                </c:pt>
                <c:pt idx="213">
                  <c:v>-2.4199359395291058</c:v>
                </c:pt>
                <c:pt idx="214">
                  <c:v>-2.3933488621290424</c:v>
                </c:pt>
                <c:pt idx="215">
                  <c:v>-2.3660327474806828</c:v>
                </c:pt>
                <c:pt idx="216">
                  <c:v>-2.3379959163371673</c:v>
                </c:pt>
                <c:pt idx="217">
                  <c:v>-2.3092469089888601</c:v>
                </c:pt>
                <c:pt idx="218">
                  <c:v>-2.2797944826618974</c:v>
                </c:pt>
                <c:pt idx="219">
                  <c:v>-2.2496476088506512</c:v>
                </c:pt>
                <c:pt idx="220">
                  <c:v>-2.2188154705849237</c:v>
                </c:pt>
                <c:pt idx="221">
                  <c:v>-2.187307459632708</c:v>
                </c:pt>
                <c:pt idx="222">
                  <c:v>-2.1551331736393644</c:v>
                </c:pt>
                <c:pt idx="223">
                  <c:v>-2.1223024132040869</c:v>
                </c:pt>
                <c:pt idx="224">
                  <c:v>-2.0888251788945413</c:v>
                </c:pt>
                <c:pt idx="225">
                  <c:v>-2.0547116682006021</c:v>
                </c:pt>
                <c:pt idx="226">
                  <c:v>-2.0199722724280886</c:v>
                </c:pt>
                <c:pt idx="227">
                  <c:v>-1.9846175735334843</c:v>
                </c:pt>
                <c:pt idx="228">
                  <c:v>-1.9486583409005582</c:v>
                </c:pt>
                <c:pt idx="229">
                  <c:v>-1.9121055280599173</c:v>
                </c:pt>
                <c:pt idx="230">
                  <c:v>-1.8749702693524475</c:v>
                </c:pt>
                <c:pt idx="231">
                  <c:v>-1.8372638765376883</c:v>
                </c:pt>
                <c:pt idx="232">
                  <c:v>-1.7989978353481586</c:v>
                </c:pt>
                <c:pt idx="233">
                  <c:v>-1.7601838019907001</c:v>
                </c:pt>
                <c:pt idx="234">
                  <c:v>-1.7208335995958728</c:v>
                </c:pt>
                <c:pt idx="235">
                  <c:v>-1.6809592146165184</c:v>
                </c:pt>
                <c:pt idx="236">
                  <c:v>-1.6405727931765726</c:v>
                </c:pt>
                <c:pt idx="237">
                  <c:v>-1.5996866373712419</c:v>
                </c:pt>
                <c:pt idx="238">
                  <c:v>-1.5583132015196555</c:v>
                </c:pt>
                <c:pt idx="239">
                  <c:v>-1.516465088371167</c:v>
                </c:pt>
                <c:pt idx="240">
                  <c:v>-1.4741550452664334</c:v>
                </c:pt>
                <c:pt idx="241">
                  <c:v>-1.431395960254449</c:v>
                </c:pt>
                <c:pt idx="242">
                  <c:v>-1.3882008581667293</c:v>
                </c:pt>
                <c:pt idx="243">
                  <c:v>-1.3445828966498081</c:v>
                </c:pt>
                <c:pt idx="244">
                  <c:v>-1.3005553621573009</c:v>
                </c:pt>
                <c:pt idx="245">
                  <c:v>-1.2561316659027153</c:v>
                </c:pt>
                <c:pt idx="246">
                  <c:v>-1.2113253397742771</c:v>
                </c:pt>
                <c:pt idx="247">
                  <c:v>-1.1661500322129723</c:v>
                </c:pt>
                <c:pt idx="248">
                  <c:v>-1.1206195040551057</c:v>
                </c:pt>
                <c:pt idx="249">
                  <c:v>-1.0747476243406193</c:v>
                </c:pt>
                <c:pt idx="250">
                  <c:v>-1.0285483660884422</c:v>
                </c:pt>
                <c:pt idx="251">
                  <c:v>-0.98203580204018548</c:v>
                </c:pt>
                <c:pt idx="252">
                  <c:v>-0.93522410037343273</c:v>
                </c:pt>
                <c:pt idx="253">
                  <c:v>-0.88812752038598697</c:v>
                </c:pt>
                <c:pt idx="254">
                  <c:v>-0.84076040815234487</c:v>
                </c:pt>
                <c:pt idx="255">
                  <c:v>-0.79313719215375256</c:v>
                </c:pt>
                <c:pt idx="256">
                  <c:v>-0.74527237888313813</c:v>
                </c:pt>
                <c:pt idx="257">
                  <c:v>-0.69718054842630017</c:v>
                </c:pt>
                <c:pt idx="258">
                  <c:v>-0.64887635002067201</c:v>
                </c:pt>
                <c:pt idx="259">
                  <c:v>-0.60037449759301875</c:v>
                </c:pt>
                <c:pt idx="260">
                  <c:v>-0.55168976527744262</c:v>
                </c:pt>
                <c:pt idx="261">
                  <c:v>-0.50283698291502421</c:v>
                </c:pt>
                <c:pt idx="262">
                  <c:v>-0.45383103153651883</c:v>
                </c:pt>
                <c:pt idx="263">
                  <c:v>-0.40468683882944489</c:v>
                </c:pt>
                <c:pt idx="264">
                  <c:v>-0.35541937459097661</c:v>
                </c:pt>
                <c:pt idx="265">
                  <c:v>-0.30604364616798307</c:v>
                </c:pt>
                <c:pt idx="266">
                  <c:v>-0.2565746938856554</c:v>
                </c:pt>
                <c:pt idx="267">
                  <c:v>-0.2070275864660753</c:v>
                </c:pt>
                <c:pt idx="268">
                  <c:v>-0.15741741643813392</c:v>
                </c:pt>
                <c:pt idx="269">
                  <c:v>-0.10775929554021117</c:v>
                </c:pt>
                <c:pt idx="270">
                  <c:v>-5.8068350116979174E-2</c:v>
                </c:pt>
                <c:pt idx="271">
                  <c:v>-8.3597165117808014E-3</c:v>
                </c:pt>
                <c:pt idx="272">
                  <c:v>4.1351463544051989E-2</c:v>
                </c:pt>
                <c:pt idx="273">
                  <c:v>9.1050047543506138E-2</c:v>
                </c:pt>
                <c:pt idx="274">
                  <c:v>0.14072089681645686</c:v>
                </c:pt>
                <c:pt idx="275">
                  <c:v>0.19034888114104337</c:v>
                </c:pt>
                <c:pt idx="276">
                  <c:v>0.23991888335248326</c:v>
                </c:pt>
                <c:pt idx="277">
                  <c:v>0.28941580394791022</c:v>
                </c:pt>
                <c:pt idx="278">
                  <c:v>0.3388245656858182</c:v>
                </c:pt>
                <c:pt idx="279">
                  <c:v>0.38813011817875098</c:v>
                </c:pt>
                <c:pt idx="280">
                  <c:v>0.43731744247778581</c:v>
                </c:pt>
                <c:pt idx="281">
                  <c:v>0.48637155564745499</c:v>
                </c:pt>
                <c:pt idx="282">
                  <c:v>0.53527751532968448</c:v>
                </c:pt>
                <c:pt idx="283">
                  <c:v>0.58402042429539502</c:v>
                </c:pt>
                <c:pt idx="284">
                  <c:v>0.63258543498233188</c:v>
                </c:pt>
                <c:pt idx="285">
                  <c:v>0.68095775401778069</c:v>
                </c:pt>
                <c:pt idx="286">
                  <c:v>0.72912264672477223</c:v>
                </c:pt>
                <c:pt idx="287">
                  <c:v>0.77706544161039925</c:v>
                </c:pt>
                <c:pt idx="288">
                  <c:v>0.82477153483490961</c:v>
                </c:pt>
                <c:pt idx="289">
                  <c:v>0.87222639466016849</c:v>
                </c:pt>
                <c:pt idx="290">
                  <c:v>0.91941556587616891</c:v>
                </c:pt>
                <c:pt idx="291">
                  <c:v>0.96632467420422286</c:v>
                </c:pt>
                <c:pt idx="292">
                  <c:v>1.0129394306755166</c:v>
                </c:pt>
                <c:pt idx="293">
                  <c:v>1.0592456359836622</c:v>
                </c:pt>
                <c:pt idx="294">
                  <c:v>1.105229184809944</c:v>
                </c:pt>
                <c:pt idx="295">
                  <c:v>1.1508760701199396</c:v>
                </c:pt>
                <c:pt idx="296">
                  <c:v>1.1961723874301882</c:v>
                </c:pt>
                <c:pt idx="297">
                  <c:v>1.2411043390436427</c:v>
                </c:pt>
                <c:pt idx="298">
                  <c:v>1.285658238252577</c:v>
                </c:pt>
                <c:pt idx="299">
                  <c:v>1.3298205135076908</c:v>
                </c:pt>
                <c:pt idx="300">
                  <c:v>1.3735777125521276</c:v>
                </c:pt>
                <c:pt idx="301">
                  <c:v>1.4169165065191742</c:v>
                </c:pt>
                <c:pt idx="302">
                  <c:v>1.4598236939923575</c:v>
                </c:pt>
                <c:pt idx="303">
                  <c:v>1.5022862050267205</c:v>
                </c:pt>
                <c:pt idx="304">
                  <c:v>1.5442911051300616</c:v>
                </c:pt>
                <c:pt idx="305">
                  <c:v>1.5858255992028938</c:v>
                </c:pt>
                <c:pt idx="306">
                  <c:v>1.6268770354359712</c:v>
                </c:pt>
                <c:pt idx="307">
                  <c:v>1.6674329091641438</c:v>
                </c:pt>
                <c:pt idx="308">
                  <c:v>1.7074808666754011</c:v>
                </c:pt>
                <c:pt idx="309">
                  <c:v>1.7470087089739286</c:v>
                </c:pt>
                <c:pt idx="310">
                  <c:v>1.7860043954960496</c:v>
                </c:pt>
                <c:pt idx="311">
                  <c:v>1.8244560477778895</c:v>
                </c:pt>
                <c:pt idx="312">
                  <c:v>1.8623519530736727</c:v>
                </c:pt>
                <c:pt idx="313">
                  <c:v>1.8996805679235436</c:v>
                </c:pt>
                <c:pt idx="314">
                  <c:v>1.9364305216698041</c:v>
                </c:pt>
                <c:pt idx="315">
                  <c:v>1.9725906199205412</c:v>
                </c:pt>
                <c:pt idx="316">
                  <c:v>2.008149847959535</c:v>
                </c:pt>
                <c:pt idx="317">
                  <c:v>2.0430973741014582</c:v>
                </c:pt>
                <c:pt idx="318">
                  <c:v>2.0774225529912997</c:v>
                </c:pt>
                <c:pt idx="319">
                  <c:v>2.1111149288470559</c:v>
                </c:pt>
                <c:pt idx="320">
                  <c:v>2.1441642386446556</c:v>
                </c:pt>
                <c:pt idx="321">
                  <c:v>2.1765604152441789</c:v>
                </c:pt>
                <c:pt idx="322">
                  <c:v>2.2082935904564054</c:v>
                </c:pt>
                <c:pt idx="323">
                  <c:v>2.2393540980487581</c:v>
                </c:pt>
                <c:pt idx="324">
                  <c:v>2.2697324766897347</c:v>
                </c:pt>
                <c:pt idx="325">
                  <c:v>2.2994194728309192</c:v>
                </c:pt>
                <c:pt idx="326">
                  <c:v>2.3284060435257041</c:v>
                </c:pt>
                <c:pt idx="327">
                  <c:v>2.3566833591838541</c:v>
                </c:pt>
                <c:pt idx="328">
                  <c:v>2.3842428062610921</c:v>
                </c:pt>
                <c:pt idx="329">
                  <c:v>2.4110759898828649</c:v>
                </c:pt>
                <c:pt idx="330">
                  <c:v>2.4371747364015008</c:v>
                </c:pt>
                <c:pt idx="331">
                  <c:v>2.4625310958859892</c:v>
                </c:pt>
                <c:pt idx="332">
                  <c:v>2.4871373445435938</c:v>
                </c:pt>
                <c:pt idx="333">
                  <c:v>2.510985987072611</c:v>
                </c:pt>
                <c:pt idx="334">
                  <c:v>2.5340697589454986</c:v>
                </c:pt>
                <c:pt idx="335">
                  <c:v>2.5563816286217271</c:v>
                </c:pt>
                <c:pt idx="336">
                  <c:v>2.5779147996896516</c:v>
                </c:pt>
                <c:pt idx="337">
                  <c:v>2.5986627129367696</c:v>
                </c:pt>
                <c:pt idx="338">
                  <c:v>2.6186190483477154</c:v>
                </c:pt>
                <c:pt idx="339">
                  <c:v>2.6377777270294018</c:v>
                </c:pt>
                <c:pt idx="340">
                  <c:v>2.6561329130627107</c:v>
                </c:pt>
                <c:pt idx="341">
                  <c:v>2.6736790152801619</c:v>
                </c:pt>
                <c:pt idx="342">
                  <c:v>2.6904106889690489</c:v>
                </c:pt>
                <c:pt idx="343">
                  <c:v>2.706322837499481</c:v>
                </c:pt>
                <c:pt idx="344">
                  <c:v>2.7214106138768743</c:v>
                </c:pt>
                <c:pt idx="345">
                  <c:v>2.7356694222183839</c:v>
                </c:pt>
                <c:pt idx="346">
                  <c:v>2.7490949191528604</c:v>
                </c:pt>
                <c:pt idx="347">
                  <c:v>2.7616830151438831</c:v>
                </c:pt>
                <c:pt idx="348">
                  <c:v>2.7734298757354687</c:v>
                </c:pt>
                <c:pt idx="349">
                  <c:v>2.7843319227200869</c:v>
                </c:pt>
                <c:pt idx="350">
                  <c:v>2.7943858352286153</c:v>
                </c:pt>
                <c:pt idx="351">
                  <c:v>2.8035885507419089</c:v>
                </c:pt>
                <c:pt idx="352">
                  <c:v>2.8119372660236759</c:v>
                </c:pt>
                <c:pt idx="353">
                  <c:v>2.8194294379743639</c:v>
                </c:pt>
                <c:pt idx="354">
                  <c:v>2.8260627844058179</c:v>
                </c:pt>
                <c:pt idx="355">
                  <c:v>2.831835284736457</c:v>
                </c:pt>
                <c:pt idx="356">
                  <c:v>2.8367451806067616</c:v>
                </c:pt>
                <c:pt idx="357">
                  <c:v>2.8407909764148855</c:v>
                </c:pt>
                <c:pt idx="358">
                  <c:v>2.8439714397722335</c:v>
                </c:pt>
                <c:pt idx="359">
                  <c:v>2.8462856018788565</c:v>
                </c:pt>
                <c:pt idx="360">
                  <c:v>2.8477327578185596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81-48FB-B772-E5414B820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2368"/>
        <c:axId val="6882848"/>
      </c:scatterChart>
      <c:valAx>
        <c:axId val="6882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Arial Nova Cond Light" panose="020B0306020202020204" pitchFamily="34" charset="0"/>
                    <a:ea typeface="+mn-ea"/>
                    <a:cs typeface="+mn-cs"/>
                  </a:defRPr>
                </a:pPr>
                <a:r>
                  <a:rPr lang="it-IT" sz="1600" b="1"/>
                  <a:t>Normalized horizontal load, </a:t>
                </a:r>
                <a:r>
                  <a:rPr lang="it-IT" sz="1600" b="1" i="1"/>
                  <a:t>H</a:t>
                </a:r>
                <a:r>
                  <a:rPr lang="it-IT" sz="1600" b="1"/>
                  <a:t>/</a:t>
                </a:r>
                <a:r>
                  <a:rPr lang="el-GR" sz="1600" b="1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γ</a:t>
                </a:r>
                <a:r>
                  <a:rPr lang="el-GR" sz="1600" b="1" i="1"/>
                  <a:t>'</a:t>
                </a:r>
                <a:r>
                  <a:rPr lang="it-IT" sz="1600" b="1" i="1"/>
                  <a:t>D</a:t>
                </a:r>
                <a:r>
                  <a:rPr lang="it-IT" sz="1600" b="1" baseline="30000"/>
                  <a:t>3</a:t>
                </a:r>
                <a:r>
                  <a:rPr lang="it-IT" sz="1600" b="1"/>
                  <a:t> </a:t>
                </a:r>
              </a:p>
            </c:rich>
          </c:tx>
          <c:layout>
            <c:manualLayout>
              <c:xMode val="edge"/>
              <c:yMode val="edge"/>
              <c:x val="0.30503676948638303"/>
              <c:y val="0.942274412855376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Arial Nova Cond Light" panose="020B0306020202020204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 Nova Cond Light" panose="020B0306020202020204" pitchFamily="34" charset="0"/>
                <a:ea typeface="+mn-ea"/>
                <a:cs typeface="+mn-cs"/>
              </a:defRPr>
            </a:pPr>
            <a:endParaRPr lang="it-IT"/>
          </a:p>
        </c:txPr>
        <c:crossAx val="6882848"/>
        <c:crosses val="autoZero"/>
        <c:crossBetween val="midCat"/>
      </c:valAx>
      <c:valAx>
        <c:axId val="688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rial Nova Cond Light" panose="020B0306020202020204" pitchFamily="34" charset="0"/>
                    <a:ea typeface="+mn-ea"/>
                    <a:cs typeface="+mn-cs"/>
                  </a:defRPr>
                </a:pPr>
                <a:r>
                  <a:rPr lang="it-IT" sz="1600" b="1" i="0" u="none" strike="noStrike" kern="1200" baseline="0">
                    <a:solidFill>
                      <a:sysClr val="windowText" lastClr="000000"/>
                    </a:solidFill>
                    <a:latin typeface="Arial Nova Cond Light" panose="020B0306020202020204" pitchFamily="34" charset="0"/>
                  </a:rPr>
                  <a:t>Normalized moment, </a:t>
                </a:r>
                <a:r>
                  <a:rPr lang="it-IT" sz="1600" b="1" i="1" u="none" strike="noStrike" kern="1200" baseline="0">
                    <a:solidFill>
                      <a:sysClr val="windowText" lastClr="000000"/>
                    </a:solidFill>
                    <a:latin typeface="Arial Nova Cond Light" panose="020B0306020202020204" pitchFamily="34" charset="0"/>
                  </a:rPr>
                  <a:t>M</a:t>
                </a:r>
                <a:r>
                  <a:rPr lang="it-IT" sz="1600" b="1" i="0" u="none" strike="noStrike" kern="1200" baseline="0">
                    <a:solidFill>
                      <a:sysClr val="windowText" lastClr="000000"/>
                    </a:solidFill>
                    <a:latin typeface="Arial Nova Cond Light" panose="020B0306020202020204" pitchFamily="34" charset="0"/>
                  </a:rPr>
                  <a:t>/</a:t>
                </a:r>
                <a:r>
                  <a:rPr lang="el-GR" sz="1600" b="1" i="1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γ</a:t>
                </a:r>
                <a:r>
                  <a:rPr lang="el-GR" sz="1600" b="1" i="1" u="none" strike="noStrike" kern="1200" baseline="0">
                    <a:solidFill>
                      <a:sysClr val="windowText" lastClr="000000"/>
                    </a:solidFill>
                    <a:latin typeface="Arial Nova Cond Light" panose="020B0306020202020204" pitchFamily="34" charset="0"/>
                  </a:rPr>
                  <a:t>'</a:t>
                </a:r>
                <a:r>
                  <a:rPr lang="it-IT" sz="1600" b="1" i="1" u="none" strike="noStrike" kern="1200" baseline="0">
                    <a:solidFill>
                      <a:sysClr val="windowText" lastClr="000000"/>
                    </a:solidFill>
                    <a:latin typeface="Arial Nova Cond Light" panose="020B0306020202020204" pitchFamily="34" charset="0"/>
                  </a:rPr>
                  <a:t>D</a:t>
                </a:r>
                <a:r>
                  <a:rPr lang="it-IT" sz="1600" b="1" i="0" u="none" strike="noStrike" kern="1200" baseline="30000">
                    <a:solidFill>
                      <a:sysClr val="windowText" lastClr="000000"/>
                    </a:solidFill>
                    <a:latin typeface="Arial Nova Cond Light" panose="020B0306020202020204" pitchFamily="34" charset="0"/>
                  </a:rPr>
                  <a:t>4</a:t>
                </a:r>
                <a:r>
                  <a:rPr lang="it-IT" sz="1600" b="1" i="0" u="none" strike="noStrike" kern="1200" baseline="0">
                    <a:solidFill>
                      <a:sysClr val="windowText" lastClr="000000"/>
                    </a:solidFill>
                    <a:latin typeface="Arial Nova Cond Light" panose="020B0306020202020204" pitchFamily="34" charset="0"/>
                  </a:rPr>
                  <a:t> </a:t>
                </a:r>
              </a:p>
            </c:rich>
          </c:tx>
          <c:layout>
            <c:manualLayout>
              <c:xMode val="edge"/>
              <c:yMode val="edge"/>
              <c:x val="4.8929663608562688E-3"/>
              <c:y val="0.261171077348335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Arial Nova Cond Light" panose="020B0306020202020204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 Nova Cond Light" panose="020B0306020202020204" pitchFamily="34" charset="0"/>
                <a:ea typeface="+mn-ea"/>
                <a:cs typeface="+mn-cs"/>
              </a:defRPr>
            </a:pPr>
            <a:endParaRPr lang="it-IT"/>
          </a:p>
        </c:txPr>
        <c:crossAx val="6882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chemeClr val="tx1"/>
          </a:solidFill>
          <a:latin typeface="Arial Nova Cond Light" panose="020B0306020202020204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159117724963286E-2"/>
          <c:y val="2.880721800998608E-2"/>
          <c:w val="0.86193878976137162"/>
          <c:h val="0.89132865499352754"/>
        </c:manualLayout>
      </c:layout>
      <c:scatterChart>
        <c:scatterStyle val="smoothMarker"/>
        <c:varyColors val="0"/>
        <c:ser>
          <c:idx val="0"/>
          <c:order val="0"/>
          <c:spPr>
            <a:ln w="317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'Failure surface'!$G$4:$G$364</c:f>
              <c:numCache>
                <c:formatCode>0.00</c:formatCode>
                <c:ptCount val="361"/>
                <c:pt idx="0">
                  <c:v>-3.3259781670978792</c:v>
                </c:pt>
                <c:pt idx="1">
                  <c:v>-3.3037788525373397</c:v>
                </c:pt>
                <c:pt idx="2">
                  <c:v>-3.2805731749338931</c:v>
                </c:pt>
                <c:pt idx="3">
                  <c:v>-3.2563682029617356</c:v>
                </c:pt>
                <c:pt idx="4">
                  <c:v>-3.2311713096898087</c:v>
                </c:pt>
                <c:pt idx="5">
                  <c:v>-3.2049901703358912</c:v>
                </c:pt>
                <c:pt idx="6">
                  <c:v>-3.177832759928652</c:v>
                </c:pt>
                <c:pt idx="7">
                  <c:v>-3.1497073508783817</c:v>
                </c:pt>
                <c:pt idx="8">
                  <c:v>-3.1206225104571339</c:v>
                </c:pt>
                <c:pt idx="9">
                  <c:v>-3.0905870981890513</c:v>
                </c:pt>
                <c:pt idx="10">
                  <c:v>-3.0596102631516708</c:v>
                </c:pt>
                <c:pt idx="11">
                  <c:v>-3.0277014411890244</c:v>
                </c:pt>
                <c:pt idx="12">
                  <c:v>-2.9948703520373892</c:v>
                </c:pt>
                <c:pt idx="13">
                  <c:v>-2.9611269963645634</c:v>
                </c:pt>
                <c:pt idx="14">
                  <c:v>-2.9264816527235631</c:v>
                </c:pt>
                <c:pt idx="15">
                  <c:v>-2.8909448744216792</c:v>
                </c:pt>
                <c:pt idx="16">
                  <c:v>-2.8545274863058343</c:v>
                </c:pt>
                <c:pt idx="17">
                  <c:v>-2.8172405814652315</c:v>
                </c:pt>
                <c:pt idx="18">
                  <c:v>-2.7790955178522929</c:v>
                </c:pt>
                <c:pt idx="19">
                  <c:v>-2.7401039148229134</c:v>
                </c:pt>
                <c:pt idx="20">
                  <c:v>-2.7002776495970964</c:v>
                </c:pt>
                <c:pt idx="21">
                  <c:v>-2.6596288536410349</c:v>
                </c:pt>
                <c:pt idx="22">
                  <c:v>-2.6181699089717512</c:v>
                </c:pt>
                <c:pt idx="23">
                  <c:v>-2.5759134443854133</c:v>
                </c:pt>
                <c:pt idx="24">
                  <c:v>-2.5328723316104811</c:v>
                </c:pt>
                <c:pt idx="25">
                  <c:v>-2.489059681386856</c:v>
                </c:pt>
                <c:pt idx="26">
                  <c:v>-2.4444888394722177</c:v>
                </c:pt>
                <c:pt idx="27">
                  <c:v>-2.3991733825767807</c:v>
                </c:pt>
                <c:pt idx="28">
                  <c:v>-2.3531271142276964</c:v>
                </c:pt>
                <c:pt idx="29">
                  <c:v>-2.3063640605643645</c:v>
                </c:pt>
                <c:pt idx="30">
                  <c:v>-2.2588984660659346</c:v>
                </c:pt>
                <c:pt idx="31">
                  <c:v>-2.2107447892123</c:v>
                </c:pt>
                <c:pt idx="32">
                  <c:v>-2.1619176980799053</c:v>
                </c:pt>
                <c:pt idx="33">
                  <c:v>-2.1124320658737088</c:v>
                </c:pt>
                <c:pt idx="34">
                  <c:v>-2.0623029663966577</c:v>
                </c:pt>
                <c:pt idx="35">
                  <c:v>-2.0115456694580658</c:v>
                </c:pt>
                <c:pt idx="36">
                  <c:v>-1.9601756362222753</c:v>
                </c:pt>
                <c:pt idx="37">
                  <c:v>-1.9082085144990444</c:v>
                </c:pt>
                <c:pt idx="38">
                  <c:v>-1.8556601339770658</c:v>
                </c:pt>
                <c:pt idx="39">
                  <c:v>-1.8025465014020949</c:v>
                </c:pt>
                <c:pt idx="40">
                  <c:v>-1.7488837957011367</c:v>
                </c:pt>
                <c:pt idx="41">
                  <c:v>-1.6946883630541902</c:v>
                </c:pt>
                <c:pt idx="42">
                  <c:v>-1.6399767119150428</c:v>
                </c:pt>
                <c:pt idx="43">
                  <c:v>-1.5847655079826342</c:v>
                </c:pt>
                <c:pt idx="44">
                  <c:v>-1.5290715691245267</c:v>
                </c:pt>
                <c:pt idx="45">
                  <c:v>-1.4729118602540148</c:v>
                </c:pt>
                <c:pt idx="46">
                  <c:v>-1.4163034881624512</c:v>
                </c:pt>
                <c:pt idx="47">
                  <c:v>-1.359263696308354</c:v>
                </c:pt>
                <c:pt idx="48">
                  <c:v>-1.3018098595648784</c:v>
                </c:pt>
                <c:pt idx="49">
                  <c:v>-1.2439594789272634</c:v>
                </c:pt>
                <c:pt idx="50">
                  <c:v>-1.1857301761818617</c:v>
                </c:pt>
                <c:pt idx="51">
                  <c:v>-1.1271396885383687</c:v>
                </c:pt>
                <c:pt idx="52">
                  <c:v>-1.0682058632268998</c:v>
                </c:pt>
                <c:pt idx="53">
                  <c:v>-1.0089466520615491</c:v>
                </c:pt>
                <c:pt idx="54">
                  <c:v>-0.94938010597209455</c:v>
                </c:pt>
                <c:pt idx="55">
                  <c:v>-0.8895243695055095</c:v>
                </c:pt>
                <c:pt idx="56">
                  <c:v>-0.82939767529895692</c:v>
                </c:pt>
                <c:pt idx="57">
                  <c:v>-0.7690183385259528</c:v>
                </c:pt>
                <c:pt idx="58">
                  <c:v>-0.70840475131738545</c:v>
                </c:pt>
                <c:pt idx="59">
                  <c:v>-0.64757537715909597</c:v>
                </c:pt>
                <c:pt idx="60">
                  <c:v>-0.58654874526772138</c:v>
                </c:pt>
                <c:pt idx="61">
                  <c:v>-0.52534344494651175</c:v>
                </c:pt>
                <c:pt idx="62">
                  <c:v>-0.46397811992285565</c:v>
                </c:pt>
                <c:pt idx="63">
                  <c:v>-0.40247146266921363</c:v>
                </c:pt>
                <c:pt idx="64">
                  <c:v>-0.340842208709214</c:v>
                </c:pt>
                <c:pt idx="65">
                  <c:v>-0.2791091309106295</c:v>
                </c:pt>
                <c:pt idx="66">
                  <c:v>-0.217291033766978</c:v>
                </c:pt>
                <c:pt idx="67">
                  <c:v>-0.1554067476694958</c:v>
                </c:pt>
                <c:pt idx="68">
                  <c:v>-9.3475123171214536E-2</c:v>
                </c:pt>
                <c:pt idx="69">
                  <c:v>-3.1515025244902573E-2</c:v>
                </c:pt>
                <c:pt idx="70">
                  <c:v>3.0454672463392951E-2</c:v>
                </c:pt>
                <c:pt idx="71">
                  <c:v>9.2415093383435121E-2</c:v>
                </c:pt>
                <c:pt idx="72">
                  <c:v>0.1543473637707875</c:v>
                </c:pt>
                <c:pt idx="73">
                  <c:v>0.21623261845593866</c:v>
                </c:pt>
                <c:pt idx="74">
                  <c:v>0.27805200659081653</c:v>
                </c:pt>
                <c:pt idx="75">
                  <c:v>0.3397866973909357</c:v>
                </c:pt>
                <c:pt idx="76">
                  <c:v>0.401417885871442</c:v>
                </c:pt>
                <c:pt idx="77">
                  <c:v>0.46292679857528984</c:v>
                </c:pt>
                <c:pt idx="78">
                  <c:v>0.52429469929181782</c:v>
                </c:pt>
                <c:pt idx="79">
                  <c:v>0.58550289476398609</c:v>
                </c:pt>
                <c:pt idx="80">
                  <c:v>0.64653274038251507</c:v>
                </c:pt>
                <c:pt idx="81">
                  <c:v>0.70736564586522033</c:v>
                </c:pt>
                <c:pt idx="82">
                  <c:v>0.76798308091979006</c:v>
                </c:pt>
                <c:pt idx="83">
                  <c:v>0.82836658088829229</c:v>
                </c:pt>
                <c:pt idx="84">
                  <c:v>0.88849775237168882</c:v>
                </c:pt>
                <c:pt idx="85">
                  <c:v>0.9483582788326419</c:v>
                </c:pt>
                <c:pt idx="86">
                  <c:v>1.0079299261749097</c:v>
                </c:pt>
                <c:pt idx="87">
                  <c:v>1.0671945482976275</c:v>
                </c:pt>
                <c:pt idx="88">
                  <c:v>1.126134092622789</c:v>
                </c:pt>
                <c:pt idx="89">
                  <c:v>1.1847306055942313</c:v>
                </c:pt>
                <c:pt idx="90">
                  <c:v>1.2429662381464666</c:v>
                </c:pt>
                <c:pt idx="91">
                  <c:v>1.3008232511416784</c:v>
                </c:pt>
                <c:pt idx="92">
                  <c:v>1.3582840207732345</c:v>
                </c:pt>
                <c:pt idx="93">
                  <c:v>1.4153310439340703</c:v>
                </c:pt>
                <c:pt idx="94">
                  <c:v>1.4719469435483039</c:v>
                </c:pt>
                <c:pt idx="95">
                  <c:v>1.5281144738644628</c:v>
                </c:pt>
                <c:pt idx="96">
                  <c:v>1.5838165257087051</c:v>
                </c:pt>
                <c:pt idx="97">
                  <c:v>1.6390361316964408</c:v>
                </c:pt>
                <c:pt idx="98">
                  <c:v>1.6937564714007629</c:v>
                </c:pt>
                <c:pt idx="99">
                  <c:v>1.747960876476109</c:v>
                </c:pt>
                <c:pt idx="100">
                  <c:v>1.8016328357356031</c:v>
                </c:pt>
                <c:pt idx="101">
                  <c:v>1.8547560001805228</c:v>
                </c:pt>
                <c:pt idx="102">
                  <c:v>1.9073141879803628</c:v>
                </c:pt>
                <c:pt idx="103">
                  <c:v>1.9592913894019768</c:v>
                </c:pt>
                <c:pt idx="104">
                  <c:v>2.0106717716862965</c:v>
                </c:pt>
                <c:pt idx="105">
                  <c:v>2.0614396838711464</c:v>
                </c:pt>
                <c:pt idx="106">
                  <c:v>2.1115796615586735</c:v>
                </c:pt>
                <c:pt idx="107">
                  <c:v>2.1610764316259594</c:v>
                </c:pt>
                <c:pt idx="108">
                  <c:v>2.209914916877354</c:v>
                </c:pt>
                <c:pt idx="109">
                  <c:v>2.2580802406371414</c:v>
                </c:pt>
                <c:pt idx="110">
                  <c:v>2.3055577312811169</c:v>
                </c:pt>
                <c:pt idx="111">
                  <c:v>2.3523329267057038</c:v>
                </c:pt>
                <c:pt idx="112">
                  <c:v>2.3983915787332561</c:v>
                </c:pt>
                <c:pt idx="113">
                  <c:v>2.4437196574521853</c:v>
                </c:pt>
                <c:pt idx="114">
                  <c:v>2.4883033554906104</c:v>
                </c:pt>
                <c:pt idx="115">
                  <c:v>2.5321290922222168</c:v>
                </c:pt>
                <c:pt idx="116">
                  <c:v>2.5751835179030484</c:v>
                </c:pt>
                <c:pt idx="117">
                  <c:v>2.6174535177379621</c:v>
                </c:pt>
                <c:pt idx="118">
                  <c:v>2.6589262158755327</c:v>
                </c:pt>
                <c:pt idx="119">
                  <c:v>2.6995889793301497</c:v>
                </c:pt>
                <c:pt idx="120">
                  <c:v>2.7394294218301578</c:v>
                </c:pt>
                <c:pt idx="121">
                  <c:v>2.7784354075908286</c:v>
                </c:pt>
                <c:pt idx="122">
                  <c:v>2.8165950550110375</c:v>
                </c:pt>
                <c:pt idx="123">
                  <c:v>2.8538967402925222</c:v>
                </c:pt>
                <c:pt idx="124">
                  <c:v>2.890329100980594</c:v>
                </c:pt>
                <c:pt idx="125">
                  <c:v>2.9258810394252617</c:v>
                </c:pt>
                <c:pt idx="126">
                  <c:v>2.9605417261616731</c:v>
                </c:pt>
                <c:pt idx="127">
                  <c:v>2.9943006032088859</c:v>
                </c:pt>
                <c:pt idx="128">
                  <c:v>3.0271473872859191</c:v>
                </c:pt>
                <c:pt idx="129">
                  <c:v>3.059072072944149</c:v>
                </c:pt>
                <c:pt idx="130">
                  <c:v>3.0900649356150645</c:v>
                </c:pt>
                <c:pt idx="131">
                  <c:v>3.1201165345724595</c:v>
                </c:pt>
                <c:pt idx="132">
                  <c:v>3.1492177158081773</c:v>
                </c:pt>
                <c:pt idx="133">
                  <c:v>3.1773596148205017</c:v>
                </c:pt>
                <c:pt idx="134">
                  <c:v>3.2045336593143787</c:v>
                </c:pt>
                <c:pt idx="135">
                  <c:v>3.2307315718126142</c:v>
                </c:pt>
                <c:pt idx="136">
                  <c:v>3.2559453721772758</c:v>
                </c:pt>
                <c:pt idx="137">
                  <c:v>3.2801673800405209</c:v>
                </c:pt>
                <c:pt idx="138">
                  <c:v>3.3033902171441105</c:v>
                </c:pt>
                <c:pt idx="139">
                  <c:v>3.3256068095868994</c:v>
                </c:pt>
                <c:pt idx="140">
                  <c:v>3.3468103899796109</c:v>
                </c:pt>
                <c:pt idx="141">
                  <c:v>3.3669944995062546</c:v>
                </c:pt>
                <c:pt idx="142">
                  <c:v>3.3861529898915408</c:v>
                </c:pt>
                <c:pt idx="143">
                  <c:v>3.4042800252737053</c:v>
                </c:pt>
                <c:pt idx="144">
                  <c:v>3.4213700839821697</c:v>
                </c:pt>
                <c:pt idx="145">
                  <c:v>3.4374179602194981</c:v>
                </c:pt>
                <c:pt idx="146">
                  <c:v>3.4524187656471268</c:v>
                </c:pt>
                <c:pt idx="147">
                  <c:v>3.4663679308744086</c:v>
                </c:pt>
                <c:pt idx="148">
                  <c:v>3.4792612068504858</c:v>
                </c:pt>
                <c:pt idx="149">
                  <c:v>3.4910946661585962</c:v>
                </c:pt>
                <c:pt idx="150">
                  <c:v>3.5018647042124016</c:v>
                </c:pt>
                <c:pt idx="151">
                  <c:v>3.5115680403539784</c:v>
                </c:pt>
                <c:pt idx="152">
                  <c:v>3.5202017188531394</c:v>
                </c:pt>
                <c:pt idx="153">
                  <c:v>3.5277631098077782</c:v>
                </c:pt>
                <c:pt idx="154">
                  <c:v>3.534249909944962</c:v>
                </c:pt>
                <c:pt idx="155">
                  <c:v>3.5396601433225281</c:v>
                </c:pt>
                <c:pt idx="156">
                  <c:v>3.54399216193098</c:v>
                </c:pt>
                <c:pt idx="157">
                  <c:v>3.5472446461954861</c:v>
                </c:pt>
                <c:pt idx="158">
                  <c:v>3.5494166053778295</c:v>
                </c:pt>
                <c:pt idx="159">
                  <c:v>3.5505073778782039</c:v>
                </c:pt>
                <c:pt idx="160">
                  <c:v>3.5505166314367402</c:v>
                </c:pt>
                <c:pt idx="161">
                  <c:v>3.5494443632347132</c:v>
                </c:pt>
                <c:pt idx="162">
                  <c:v>3.5472908998954056</c:v>
                </c:pt>
                <c:pt idx="163">
                  <c:v>3.5440568973846109</c:v>
                </c:pt>
                <c:pt idx="164">
                  <c:v>3.5397433408108236</c:v>
                </c:pt>
                <c:pt idx="165">
                  <c:v>3.5343515441251609</c:v>
                </c:pt>
                <c:pt idx="166">
                  <c:v>3.5278831497211254</c:v>
                </c:pt>
                <c:pt idx="167">
                  <c:v>3.5203401279343138</c:v>
                </c:pt>
                <c:pt idx="168">
                  <c:v>3.5117247764422324</c:v>
                </c:pt>
                <c:pt idx="169">
                  <c:v>3.5020397195644057</c:v>
                </c:pt>
                <c:pt idx="170">
                  <c:v>3.4912879074629779</c:v>
                </c:pt>
                <c:pt idx="171">
                  <c:v>3.4794726152440725</c:v>
                </c:pt>
                <c:pt idx="172">
                  <c:v>3.4665974419601557</c:v>
                </c:pt>
                <c:pt idx="173">
                  <c:v>3.452666309513734</c:v>
                </c:pt>
                <c:pt idx="174">
                  <c:v>3.4376834614627048</c:v>
                </c:pt>
                <c:pt idx="175">
                  <c:v>3.4216534617277268</c:v>
                </c:pt>
                <c:pt idx="176">
                  <c:v>3.4045811932020054</c:v>
                </c:pt>
                <c:pt idx="177">
                  <c:v>3.3864718562639151</c:v>
                </c:pt>
                <c:pt idx="178">
                  <c:v>3.3673309671929186</c:v>
                </c:pt>
                <c:pt idx="179">
                  <c:v>3.3471643564892464</c:v>
                </c:pt>
                <c:pt idx="180">
                  <c:v>3.3259781670978792</c:v>
                </c:pt>
                <c:pt idx="181">
                  <c:v>3.3037788525373393</c:v>
                </c:pt>
                <c:pt idx="182">
                  <c:v>3.2805731749338931</c:v>
                </c:pt>
                <c:pt idx="183">
                  <c:v>3.2563682029617356</c:v>
                </c:pt>
                <c:pt idx="184">
                  <c:v>3.2311713096898087</c:v>
                </c:pt>
                <c:pt idx="185">
                  <c:v>3.2049901703358912</c:v>
                </c:pt>
                <c:pt idx="186">
                  <c:v>3.1778327599286516</c:v>
                </c:pt>
                <c:pt idx="187">
                  <c:v>3.1497073508783822</c:v>
                </c:pt>
                <c:pt idx="188">
                  <c:v>3.1206225104571335</c:v>
                </c:pt>
                <c:pt idx="189">
                  <c:v>3.0905870981890513</c:v>
                </c:pt>
                <c:pt idx="190">
                  <c:v>3.0596102631516704</c:v>
                </c:pt>
                <c:pt idx="191">
                  <c:v>3.0277014411890244</c:v>
                </c:pt>
                <c:pt idx="192">
                  <c:v>2.9948703520373887</c:v>
                </c:pt>
                <c:pt idx="193">
                  <c:v>2.9611269963645634</c:v>
                </c:pt>
                <c:pt idx="194">
                  <c:v>2.9264816527235631</c:v>
                </c:pt>
                <c:pt idx="195">
                  <c:v>2.8909448744216792</c:v>
                </c:pt>
                <c:pt idx="196">
                  <c:v>2.8545274863058343</c:v>
                </c:pt>
                <c:pt idx="197">
                  <c:v>2.8172405814652315</c:v>
                </c:pt>
                <c:pt idx="198">
                  <c:v>2.7790955178522934</c:v>
                </c:pt>
                <c:pt idx="199">
                  <c:v>2.7401039148229129</c:v>
                </c:pt>
                <c:pt idx="200">
                  <c:v>2.7002776495970964</c:v>
                </c:pt>
                <c:pt idx="201">
                  <c:v>2.6596288536410344</c:v>
                </c:pt>
                <c:pt idx="202">
                  <c:v>2.6181699089717512</c:v>
                </c:pt>
                <c:pt idx="203">
                  <c:v>2.5759134443854137</c:v>
                </c:pt>
                <c:pt idx="204">
                  <c:v>2.5328723316104811</c:v>
                </c:pt>
                <c:pt idx="205">
                  <c:v>2.489059681386856</c:v>
                </c:pt>
                <c:pt idx="206">
                  <c:v>2.4444888394722173</c:v>
                </c:pt>
                <c:pt idx="207">
                  <c:v>2.3991733825767807</c:v>
                </c:pt>
                <c:pt idx="208">
                  <c:v>2.3531271142276959</c:v>
                </c:pt>
                <c:pt idx="209">
                  <c:v>2.3063640605643654</c:v>
                </c:pt>
                <c:pt idx="210">
                  <c:v>2.2588984660659341</c:v>
                </c:pt>
                <c:pt idx="211">
                  <c:v>2.2107447892123</c:v>
                </c:pt>
                <c:pt idx="212">
                  <c:v>2.1619176980799057</c:v>
                </c:pt>
                <c:pt idx="213">
                  <c:v>2.1124320658737088</c:v>
                </c:pt>
                <c:pt idx="214">
                  <c:v>2.0623029663966586</c:v>
                </c:pt>
                <c:pt idx="215">
                  <c:v>2.0115456694580653</c:v>
                </c:pt>
                <c:pt idx="216">
                  <c:v>1.960175636222276</c:v>
                </c:pt>
                <c:pt idx="217">
                  <c:v>1.9082085144990444</c:v>
                </c:pt>
                <c:pt idx="218">
                  <c:v>1.8556601339770666</c:v>
                </c:pt>
                <c:pt idx="219">
                  <c:v>1.8025465014020947</c:v>
                </c:pt>
                <c:pt idx="220">
                  <c:v>1.7488837957011367</c:v>
                </c:pt>
                <c:pt idx="221">
                  <c:v>1.6946883630541909</c:v>
                </c:pt>
                <c:pt idx="222">
                  <c:v>1.6399767119150428</c:v>
                </c:pt>
                <c:pt idx="223">
                  <c:v>1.5847655079826346</c:v>
                </c:pt>
                <c:pt idx="224">
                  <c:v>1.529071569124526</c:v>
                </c:pt>
                <c:pt idx="225">
                  <c:v>1.4729118602540152</c:v>
                </c:pt>
                <c:pt idx="226">
                  <c:v>1.416303488162451</c:v>
                </c:pt>
                <c:pt idx="227">
                  <c:v>1.3592636963083544</c:v>
                </c:pt>
                <c:pt idx="228">
                  <c:v>1.3018098595648779</c:v>
                </c:pt>
                <c:pt idx="229">
                  <c:v>1.2439594789272634</c:v>
                </c:pt>
                <c:pt idx="230">
                  <c:v>1.1857301761818624</c:v>
                </c:pt>
                <c:pt idx="231">
                  <c:v>1.12713968853837</c:v>
                </c:pt>
                <c:pt idx="232">
                  <c:v>1.0682058632268987</c:v>
                </c:pt>
                <c:pt idx="233">
                  <c:v>1.0089466520615487</c:v>
                </c:pt>
                <c:pt idx="234">
                  <c:v>0.94938010597209499</c:v>
                </c:pt>
                <c:pt idx="235">
                  <c:v>0.88952436950551061</c:v>
                </c:pt>
                <c:pt idx="236">
                  <c:v>0.82939767529895581</c:v>
                </c:pt>
                <c:pt idx="237">
                  <c:v>0.76901833852595236</c:v>
                </c:pt>
                <c:pt idx="238">
                  <c:v>0.70840475131738589</c:v>
                </c:pt>
                <c:pt idx="239">
                  <c:v>0.64757537715909752</c:v>
                </c:pt>
                <c:pt idx="240">
                  <c:v>0.58654874526772249</c:v>
                </c:pt>
                <c:pt idx="241">
                  <c:v>0.52534344494651064</c:v>
                </c:pt>
                <c:pt idx="242">
                  <c:v>0.46397811992285498</c:v>
                </c:pt>
                <c:pt idx="243">
                  <c:v>0.40247146266921408</c:v>
                </c:pt>
                <c:pt idx="244">
                  <c:v>0.34084220870921556</c:v>
                </c:pt>
                <c:pt idx="245">
                  <c:v>0.27910913091062817</c:v>
                </c:pt>
                <c:pt idx="246">
                  <c:v>0.21729103376697734</c:v>
                </c:pt>
                <c:pt idx="247">
                  <c:v>0.15540674766949647</c:v>
                </c:pt>
                <c:pt idx="248">
                  <c:v>9.347512317121609E-2</c:v>
                </c:pt>
                <c:pt idx="249">
                  <c:v>3.1515025244903683E-2</c:v>
                </c:pt>
                <c:pt idx="250">
                  <c:v>-3.0454672463394061E-2</c:v>
                </c:pt>
                <c:pt idx="251">
                  <c:v>-9.2415093383435565E-2</c:v>
                </c:pt>
                <c:pt idx="252">
                  <c:v>-0.15434736377078706</c:v>
                </c:pt>
                <c:pt idx="253">
                  <c:v>-0.21623261845593766</c:v>
                </c:pt>
                <c:pt idx="254">
                  <c:v>-0.2780520065908173</c:v>
                </c:pt>
                <c:pt idx="255">
                  <c:v>-0.33978669739093603</c:v>
                </c:pt>
                <c:pt idx="256">
                  <c:v>-0.40141788587144178</c:v>
                </c:pt>
                <c:pt idx="257">
                  <c:v>-0.46292679857528851</c:v>
                </c:pt>
                <c:pt idx="258">
                  <c:v>-0.52429469929181671</c:v>
                </c:pt>
                <c:pt idx="259">
                  <c:v>-0.58550289476398709</c:v>
                </c:pt>
                <c:pt idx="260">
                  <c:v>-0.6465327403825154</c:v>
                </c:pt>
                <c:pt idx="261">
                  <c:v>-0.70736564586521977</c:v>
                </c:pt>
                <c:pt idx="262">
                  <c:v>-0.76798308091978873</c:v>
                </c:pt>
                <c:pt idx="263">
                  <c:v>-0.82836658088829351</c:v>
                </c:pt>
                <c:pt idx="264">
                  <c:v>-0.88849775237168915</c:v>
                </c:pt>
                <c:pt idx="265">
                  <c:v>-0.94835827883264157</c:v>
                </c:pt>
                <c:pt idx="266">
                  <c:v>-1.0079299261749086</c:v>
                </c:pt>
                <c:pt idx="267">
                  <c:v>-1.0671945482976264</c:v>
                </c:pt>
                <c:pt idx="268">
                  <c:v>-1.1261340926227901</c:v>
                </c:pt>
                <c:pt idx="269">
                  <c:v>-1.1847306055942317</c:v>
                </c:pt>
                <c:pt idx="270">
                  <c:v>-1.2429662381464661</c:v>
                </c:pt>
                <c:pt idx="271">
                  <c:v>-1.3008232511416773</c:v>
                </c:pt>
                <c:pt idx="272">
                  <c:v>-1.3582840207732356</c:v>
                </c:pt>
                <c:pt idx="273">
                  <c:v>-1.4153310439340707</c:v>
                </c:pt>
                <c:pt idx="274">
                  <c:v>-1.4719469435483037</c:v>
                </c:pt>
                <c:pt idx="275">
                  <c:v>-1.5281144738644616</c:v>
                </c:pt>
                <c:pt idx="276">
                  <c:v>-1.5838165257087033</c:v>
                </c:pt>
                <c:pt idx="277">
                  <c:v>-1.6390361316964417</c:v>
                </c:pt>
                <c:pt idx="278">
                  <c:v>-1.6937564714007634</c:v>
                </c:pt>
                <c:pt idx="279">
                  <c:v>-1.7479608764761085</c:v>
                </c:pt>
                <c:pt idx="280">
                  <c:v>-1.8016328357356017</c:v>
                </c:pt>
                <c:pt idx="281">
                  <c:v>-1.8547560001805237</c:v>
                </c:pt>
                <c:pt idx="282">
                  <c:v>-1.9073141879803628</c:v>
                </c:pt>
                <c:pt idx="283">
                  <c:v>-1.9592913894019763</c:v>
                </c:pt>
                <c:pt idx="284">
                  <c:v>-2.0106717716862956</c:v>
                </c:pt>
                <c:pt idx="285">
                  <c:v>-2.0614396838711446</c:v>
                </c:pt>
                <c:pt idx="286">
                  <c:v>-2.1115796615586744</c:v>
                </c:pt>
                <c:pt idx="287">
                  <c:v>-2.1610764316259594</c:v>
                </c:pt>
                <c:pt idx="288">
                  <c:v>-2.2099149168773535</c:v>
                </c:pt>
                <c:pt idx="289">
                  <c:v>-2.258080240637141</c:v>
                </c:pt>
                <c:pt idx="290">
                  <c:v>-2.3055577312811173</c:v>
                </c:pt>
                <c:pt idx="291">
                  <c:v>-2.3523329267057047</c:v>
                </c:pt>
                <c:pt idx="292">
                  <c:v>-2.3983915787332561</c:v>
                </c:pt>
                <c:pt idx="293">
                  <c:v>-2.4437196574521844</c:v>
                </c:pt>
                <c:pt idx="294">
                  <c:v>-2.4883033554906091</c:v>
                </c:pt>
                <c:pt idx="295">
                  <c:v>-2.5321290922222177</c:v>
                </c:pt>
                <c:pt idx="296">
                  <c:v>-2.575183517903048</c:v>
                </c:pt>
                <c:pt idx="297">
                  <c:v>-2.6174535177379621</c:v>
                </c:pt>
                <c:pt idx="298">
                  <c:v>-2.6589262158755318</c:v>
                </c:pt>
                <c:pt idx="299">
                  <c:v>-2.6995889793301506</c:v>
                </c:pt>
                <c:pt idx="300">
                  <c:v>-2.7394294218301587</c:v>
                </c:pt>
                <c:pt idx="301">
                  <c:v>-2.7784354075908277</c:v>
                </c:pt>
                <c:pt idx="302">
                  <c:v>-2.816595055011037</c:v>
                </c:pt>
                <c:pt idx="303">
                  <c:v>-2.8538967402925208</c:v>
                </c:pt>
                <c:pt idx="304">
                  <c:v>-2.8903291009805949</c:v>
                </c:pt>
                <c:pt idx="305">
                  <c:v>-2.9258810394252617</c:v>
                </c:pt>
                <c:pt idx="306">
                  <c:v>-2.9605417261616731</c:v>
                </c:pt>
                <c:pt idx="307">
                  <c:v>-2.994300603208885</c:v>
                </c:pt>
                <c:pt idx="308">
                  <c:v>-3.0271473872859191</c:v>
                </c:pt>
                <c:pt idx="309">
                  <c:v>-3.059072072944149</c:v>
                </c:pt>
                <c:pt idx="310">
                  <c:v>-3.0900649356150645</c:v>
                </c:pt>
                <c:pt idx="311">
                  <c:v>-3.1201165345724595</c:v>
                </c:pt>
                <c:pt idx="312">
                  <c:v>-3.1492177158081764</c:v>
                </c:pt>
                <c:pt idx="313">
                  <c:v>-3.1773596148205021</c:v>
                </c:pt>
                <c:pt idx="314">
                  <c:v>-3.2045336593143787</c:v>
                </c:pt>
                <c:pt idx="315">
                  <c:v>-3.2307315718126137</c:v>
                </c:pt>
                <c:pt idx="316">
                  <c:v>-3.2559453721772753</c:v>
                </c:pt>
                <c:pt idx="317">
                  <c:v>-3.2801673800405213</c:v>
                </c:pt>
                <c:pt idx="318">
                  <c:v>-3.3033902171441114</c:v>
                </c:pt>
                <c:pt idx="319">
                  <c:v>-3.3256068095868994</c:v>
                </c:pt>
                <c:pt idx="320">
                  <c:v>-3.3468103899796109</c:v>
                </c:pt>
                <c:pt idx="321">
                  <c:v>-3.3669944995062542</c:v>
                </c:pt>
                <c:pt idx="322">
                  <c:v>-3.3861529898915408</c:v>
                </c:pt>
                <c:pt idx="323">
                  <c:v>-3.4042800252737049</c:v>
                </c:pt>
                <c:pt idx="324">
                  <c:v>-3.4213700839821697</c:v>
                </c:pt>
                <c:pt idx="325">
                  <c:v>-3.4374179602194976</c:v>
                </c:pt>
                <c:pt idx="326">
                  <c:v>-3.4524187656471272</c:v>
                </c:pt>
                <c:pt idx="327">
                  <c:v>-3.4663679308744086</c:v>
                </c:pt>
                <c:pt idx="328">
                  <c:v>-3.4792612068504862</c:v>
                </c:pt>
                <c:pt idx="329">
                  <c:v>-3.4910946661585962</c:v>
                </c:pt>
                <c:pt idx="330">
                  <c:v>-3.5018647042124007</c:v>
                </c:pt>
                <c:pt idx="331">
                  <c:v>-3.5115680403539784</c:v>
                </c:pt>
                <c:pt idx="332">
                  <c:v>-3.5202017188531389</c:v>
                </c:pt>
                <c:pt idx="333">
                  <c:v>-3.5277631098077782</c:v>
                </c:pt>
                <c:pt idx="334">
                  <c:v>-3.5342499099449616</c:v>
                </c:pt>
                <c:pt idx="335">
                  <c:v>-3.5396601433225277</c:v>
                </c:pt>
                <c:pt idx="336">
                  <c:v>-3.5439921619309809</c:v>
                </c:pt>
                <c:pt idx="337">
                  <c:v>-3.5472446461954856</c:v>
                </c:pt>
                <c:pt idx="338">
                  <c:v>-3.5494166053778295</c:v>
                </c:pt>
                <c:pt idx="339">
                  <c:v>-3.5505073778782039</c:v>
                </c:pt>
                <c:pt idx="340">
                  <c:v>-3.5505166314367398</c:v>
                </c:pt>
                <c:pt idx="341">
                  <c:v>-3.5494443632347132</c:v>
                </c:pt>
                <c:pt idx="342">
                  <c:v>-3.5472908998954056</c:v>
                </c:pt>
                <c:pt idx="343">
                  <c:v>-3.5440568973846109</c:v>
                </c:pt>
                <c:pt idx="344">
                  <c:v>-3.5397433408108232</c:v>
                </c:pt>
                <c:pt idx="345">
                  <c:v>-3.5343515441251609</c:v>
                </c:pt>
                <c:pt idx="346">
                  <c:v>-3.5278831497211258</c:v>
                </c:pt>
                <c:pt idx="347">
                  <c:v>-3.5203401279343138</c:v>
                </c:pt>
                <c:pt idx="348">
                  <c:v>-3.5117247764422332</c:v>
                </c:pt>
                <c:pt idx="349">
                  <c:v>-3.5020397195644053</c:v>
                </c:pt>
                <c:pt idx="350">
                  <c:v>-3.4912879074629783</c:v>
                </c:pt>
                <c:pt idx="351">
                  <c:v>-3.4794726152440725</c:v>
                </c:pt>
                <c:pt idx="352">
                  <c:v>-3.4665974419601562</c:v>
                </c:pt>
                <c:pt idx="353">
                  <c:v>-3.452666309513734</c:v>
                </c:pt>
                <c:pt idx="354">
                  <c:v>-3.4376834614627043</c:v>
                </c:pt>
                <c:pt idx="355">
                  <c:v>-3.4216534617277272</c:v>
                </c:pt>
                <c:pt idx="356">
                  <c:v>-3.4045811932020054</c:v>
                </c:pt>
                <c:pt idx="357">
                  <c:v>-3.386471856263916</c:v>
                </c:pt>
                <c:pt idx="358">
                  <c:v>-3.3673309671929181</c:v>
                </c:pt>
                <c:pt idx="359">
                  <c:v>-3.3471643564892464</c:v>
                </c:pt>
                <c:pt idx="360">
                  <c:v>-3.3259781670978796</c:v>
                </c:pt>
              </c:numCache>
            </c:numRef>
          </c:xVal>
          <c:yVal>
            <c:numRef>
              <c:f>'Failure surface'!$H$4:$H$364</c:f>
              <c:numCache>
                <c:formatCode>0.00</c:formatCode>
                <c:ptCount val="361"/>
                <c:pt idx="0">
                  <c:v>14.238663789092797</c:v>
                </c:pt>
                <c:pt idx="1">
                  <c:v>14.241562333868121</c:v>
                </c:pt>
                <c:pt idx="2">
                  <c:v>14.240122760795437</c:v>
                </c:pt>
                <c:pt idx="3">
                  <c:v>14.234345508382649</c:v>
                </c:pt>
                <c:pt idx="4">
                  <c:v>14.224232336436804</c:v>
                </c:pt>
                <c:pt idx="5">
                  <c:v>14.20978632552805</c:v>
                </c:pt>
                <c:pt idx="6">
                  <c:v>14.191011876051249</c:v>
                </c:pt>
                <c:pt idx="7">
                  <c:v>14.167914706885581</c:v>
                </c:pt>
                <c:pt idx="8">
                  <c:v>14.140501853652527</c:v>
                </c:pt>
                <c:pt idx="9">
                  <c:v>14.108781666572732</c:v>
                </c:pt>
                <c:pt idx="10">
                  <c:v>14.072763807922462</c:v>
                </c:pt>
                <c:pt idx="11">
                  <c:v>14.032459249090374</c:v>
                </c:pt>
                <c:pt idx="12">
                  <c:v>13.98788026723553</c:v>
                </c:pt>
                <c:pt idx="13">
                  <c:v>13.939040441547647</c:v>
                </c:pt>
                <c:pt idx="14">
                  <c:v>13.885954649110751</c:v>
                </c:pt>
                <c:pt idx="15">
                  <c:v>13.828639060371472</c:v>
                </c:pt>
                <c:pt idx="16">
                  <c:v>13.767111134213371</c:v>
                </c:pt>
                <c:pt idx="17">
                  <c:v>13.701389612638785</c:v>
                </c:pt>
                <c:pt idx="18">
                  <c:v>13.631494515059851</c:v>
                </c:pt>
                <c:pt idx="19">
                  <c:v>13.557447132200377</c:v>
                </c:pt>
                <c:pt idx="20">
                  <c:v>13.479270019610494</c:v>
                </c:pt>
                <c:pt idx="21">
                  <c:v>13.396986990796018</c:v>
                </c:pt>
                <c:pt idx="22">
                  <c:v>13.310623109964618</c:v>
                </c:pt>
                <c:pt idx="23">
                  <c:v>13.220204684391021</c:v>
                </c:pt>
                <c:pt idx="24">
                  <c:v>13.12575925640356</c:v>
                </c:pt>
                <c:pt idx="25">
                  <c:v>13.027315594994512</c:v>
                </c:pt>
                <c:pt idx="26">
                  <c:v>12.924903687056792</c:v>
                </c:pt>
                <c:pt idx="27">
                  <c:v>12.818554728249639</c:v>
                </c:pt>
                <c:pt idx="28">
                  <c:v>12.708301113496134</c:v>
                </c:pt>
                <c:pt idx="29">
                  <c:v>12.59417642711538</c:v>
                </c:pt>
                <c:pt idx="30">
                  <c:v>12.476215432592403</c:v>
                </c:pt>
                <c:pt idx="31">
                  <c:v>12.354454061988843</c:v>
                </c:pt>
                <c:pt idx="32">
                  <c:v>12.228929404997714</c:v>
                </c:pt>
                <c:pt idx="33">
                  <c:v>12.099679697645529</c:v>
                </c:pt>
                <c:pt idx="34">
                  <c:v>11.966744310645209</c:v>
                </c:pt>
                <c:pt idx="35">
                  <c:v>11.830163737403414</c:v>
                </c:pt>
                <c:pt idx="36">
                  <c:v>11.689979581685835</c:v>
                </c:pt>
                <c:pt idx="37">
                  <c:v>11.5462345449443</c:v>
                </c:pt>
                <c:pt idx="38">
                  <c:v>11.398972413309487</c:v>
                </c:pt>
                <c:pt idx="39">
                  <c:v>11.248238044253256</c:v>
                </c:pt>
                <c:pt idx="40">
                  <c:v>11.094077352924618</c:v>
                </c:pt>
                <c:pt idx="41">
                  <c:v>10.936537298163538</c:v>
                </c:pt>
                <c:pt idx="42">
                  <c:v>10.775665868196821</c:v>
                </c:pt>
                <c:pt idx="43">
                  <c:v>10.611512066020431</c:v>
                </c:pt>
                <c:pt idx="44">
                  <c:v>10.444125894472709</c:v>
                </c:pt>
                <c:pt idx="45">
                  <c:v>10.273558341003008</c:v>
                </c:pt>
                <c:pt idx="46">
                  <c:v>10.099861362140444</c:v>
                </c:pt>
                <c:pt idx="47">
                  <c:v>9.9230878676674195</c:v>
                </c:pt>
                <c:pt idx="48">
                  <c:v>9.7432917045027931</c:v>
                </c:pt>
                <c:pt idx="49">
                  <c:v>9.5605276402995862</c:v>
                </c:pt>
                <c:pt idx="50">
                  <c:v>9.3748513467622363</c:v>
                </c:pt>
                <c:pt idx="51">
                  <c:v>9.1863193826884366</c:v>
                </c:pt>
                <c:pt idx="52">
                  <c:v>8.9949891767407966</c:v>
                </c:pt>
                <c:pt idx="53">
                  <c:v>8.8009190099535033</c:v>
                </c:pt>
                <c:pt idx="54">
                  <c:v>8.6041679979793617</c:v>
                </c:pt>
                <c:pt idx="55">
                  <c:v>8.4047960730825917</c:v>
                </c:pt>
                <c:pt idx="56">
                  <c:v>8.2028639658828677</c:v>
                </c:pt>
                <c:pt idx="57">
                  <c:v>7.9984331868562109</c:v>
                </c:pt>
                <c:pt idx="58">
                  <c:v>7.7915660075982753</c:v>
                </c:pt>
                <c:pt idx="59">
                  <c:v>7.5823254418558301</c:v>
                </c:pt>
                <c:pt idx="60">
                  <c:v>7.3707752263321629</c:v>
                </c:pt>
                <c:pt idx="61">
                  <c:v>7.1569798012722492</c:v>
                </c:pt>
                <c:pt idx="62">
                  <c:v>6.9410042908336482</c:v>
                </c:pt>
                <c:pt idx="63">
                  <c:v>6.7229144832490393</c:v>
                </c:pt>
                <c:pt idx="64">
                  <c:v>6.5027768107865001</c:v>
                </c:pt>
                <c:pt idx="65">
                  <c:v>6.2806583295135807</c:v>
                </c:pt>
                <c:pt idx="66">
                  <c:v>6.0566266988713879</c:v>
                </c:pt>
                <c:pt idx="67">
                  <c:v>5.8307501610648593</c:v>
                </c:pt>
                <c:pt idx="68">
                  <c:v>5.603097520275524</c:v>
                </c:pt>
                <c:pt idx="69">
                  <c:v>5.3737381217030915</c:v>
                </c:pt>
                <c:pt idx="70">
                  <c:v>5.1427418304422163</c:v>
                </c:pt>
                <c:pt idx="71">
                  <c:v>4.9101790102009293</c:v>
                </c:pt>
                <c:pt idx="72">
                  <c:v>4.6761205018671621</c:v>
                </c:pt>
                <c:pt idx="73">
                  <c:v>4.4406376019299305</c:v>
                </c:pt>
                <c:pt idx="74">
                  <c:v>4.2038020407617278</c:v>
                </c:pt>
                <c:pt idx="75">
                  <c:v>3.9656859607687647</c:v>
                </c:pt>
                <c:pt idx="76">
                  <c:v>3.7263618944156893</c:v>
                </c:pt>
                <c:pt idx="77">
                  <c:v>3.4859027421314965</c:v>
                </c:pt>
                <c:pt idx="78">
                  <c:v>3.2443817501033556</c:v>
                </c:pt>
                <c:pt idx="79">
                  <c:v>3.0018724879650973</c:v>
                </c:pt>
                <c:pt idx="80">
                  <c:v>2.7584488263872142</c:v>
                </c:pt>
                <c:pt idx="81">
                  <c:v>2.5141849145751194</c:v>
                </c:pt>
                <c:pt idx="82">
                  <c:v>2.2691551576825888</c:v>
                </c:pt>
                <c:pt idx="83">
                  <c:v>2.0234341941472289</c:v>
                </c:pt>
                <c:pt idx="84">
                  <c:v>1.7770968729548844</c:v>
                </c:pt>
                <c:pt idx="85">
                  <c:v>1.5302182308399137</c:v>
                </c:pt>
                <c:pt idx="86">
                  <c:v>1.2828734694282722</c:v>
                </c:pt>
                <c:pt idx="87">
                  <c:v>1.0351379323303718</c:v>
                </c:pt>
                <c:pt idx="88">
                  <c:v>0.78708708219067414</c:v>
                </c:pt>
                <c:pt idx="89">
                  <c:v>0.53879647770105732</c:v>
                </c:pt>
                <c:pt idx="90">
                  <c:v>0.29034175058489414</c:v>
                </c:pt>
                <c:pt idx="91">
                  <c:v>4.1798582558899094E-2</c:v>
                </c:pt>
                <c:pt idx="92">
                  <c:v>-0.2067573177202553</c:v>
                </c:pt>
                <c:pt idx="93">
                  <c:v>-0.45525023771752915</c:v>
                </c:pt>
                <c:pt idx="94">
                  <c:v>-0.70360448408228593</c:v>
                </c:pt>
                <c:pt idx="95">
                  <c:v>-0.95174440570522179</c:v>
                </c:pt>
                <c:pt idx="96">
                  <c:v>-1.1995944167624246</c:v>
                </c:pt>
                <c:pt idx="97">
                  <c:v>-1.4470790197395464</c:v>
                </c:pt>
                <c:pt idx="98">
                  <c:v>-1.6941228284290897</c:v>
                </c:pt>
                <c:pt idx="99">
                  <c:v>-1.9406505908937568</c:v>
                </c:pt>
                <c:pt idx="100">
                  <c:v>-2.1865872123889334</c:v>
                </c:pt>
                <c:pt idx="101">
                  <c:v>-2.431857778237271</c:v>
                </c:pt>
                <c:pt idx="102">
                  <c:v>-2.6763875766484211</c:v>
                </c:pt>
                <c:pt idx="103">
                  <c:v>-2.920102121476976</c:v>
                </c:pt>
                <c:pt idx="104">
                  <c:v>-3.1629271749116645</c:v>
                </c:pt>
                <c:pt idx="105">
                  <c:v>-3.4047887700889117</c:v>
                </c:pt>
                <c:pt idx="106">
                  <c:v>-3.6456132336238558</c:v>
                </c:pt>
                <c:pt idx="107">
                  <c:v>-3.8853272080519954</c:v>
                </c:pt>
                <c:pt idx="108">
                  <c:v>-4.1238576741745501</c:v>
                </c:pt>
                <c:pt idx="109">
                  <c:v>-4.3611319733008465</c:v>
                </c:pt>
                <c:pt idx="110">
                  <c:v>-4.597077829380841</c:v>
                </c:pt>
                <c:pt idx="111">
                  <c:v>-4.8316233710211129</c:v>
                </c:pt>
                <c:pt idx="112">
                  <c:v>-5.0646971533775851</c:v>
                </c:pt>
                <c:pt idx="113">
                  <c:v>-5.296228179918316</c:v>
                </c:pt>
                <c:pt idx="114">
                  <c:v>-5.5261459240497288</c:v>
                </c:pt>
                <c:pt idx="115">
                  <c:v>-5.7543803505996953</c:v>
                </c:pt>
                <c:pt idx="116">
                  <c:v>-5.9808619371509417</c:v>
                </c:pt>
                <c:pt idx="117">
                  <c:v>-6.2055216952182137</c:v>
                </c:pt>
                <c:pt idx="118">
                  <c:v>-6.4282911912628924</c:v>
                </c:pt>
                <c:pt idx="119">
                  <c:v>-6.6491025675384501</c:v>
                </c:pt>
                <c:pt idx="120">
                  <c:v>-6.8678885627606316</c:v>
                </c:pt>
                <c:pt idx="121">
                  <c:v>-7.0845825325958733</c:v>
                </c:pt>
                <c:pt idx="122">
                  <c:v>-7.2991184699617886</c:v>
                </c:pt>
                <c:pt idx="123">
                  <c:v>-7.5114310251336089</c:v>
                </c:pt>
                <c:pt idx="124">
                  <c:v>-7.7214555256503026</c:v>
                </c:pt>
                <c:pt idx="125">
                  <c:v>-7.9291279960144712</c:v>
                </c:pt>
                <c:pt idx="126">
                  <c:v>-8.1343851771798583</c:v>
                </c:pt>
                <c:pt idx="127">
                  <c:v>-8.3371645458207233</c:v>
                </c:pt>
                <c:pt idx="128">
                  <c:v>-8.5374043333770029</c:v>
                </c:pt>
                <c:pt idx="129">
                  <c:v>-8.7350435448696402</c:v>
                </c:pt>
                <c:pt idx="130">
                  <c:v>-8.9300219774802496</c:v>
                </c:pt>
                <c:pt idx="131">
                  <c:v>-9.1222802388894486</c:v>
                </c:pt>
                <c:pt idx="132">
                  <c:v>-9.3117597653683699</c:v>
                </c:pt>
                <c:pt idx="133">
                  <c:v>-9.4984028396177145</c:v>
                </c:pt>
                <c:pt idx="134">
                  <c:v>-9.682152608349023</c:v>
                </c:pt>
                <c:pt idx="135">
                  <c:v>-9.8629530996027057</c:v>
                </c:pt>
                <c:pt idx="136">
                  <c:v>-10.04074923979768</c:v>
                </c:pt>
                <c:pt idx="137">
                  <c:v>-10.215486870507288</c:v>
                </c:pt>
                <c:pt idx="138">
                  <c:v>-10.387112764956495</c:v>
                </c:pt>
                <c:pt idx="139">
                  <c:v>-10.55557464423528</c:v>
                </c:pt>
                <c:pt idx="140">
                  <c:v>-10.720821193223278</c:v>
                </c:pt>
                <c:pt idx="141">
                  <c:v>-10.882802076220898</c:v>
                </c:pt>
                <c:pt idx="142">
                  <c:v>-11.041467952282026</c:v>
                </c:pt>
                <c:pt idx="143">
                  <c:v>-11.196770490243793</c:v>
                </c:pt>
                <c:pt idx="144">
                  <c:v>-11.348662383448673</c:v>
                </c:pt>
                <c:pt idx="145">
                  <c:v>-11.4970973641546</c:v>
                </c:pt>
                <c:pt idx="146">
                  <c:v>-11.642030217628518</c:v>
                </c:pt>
                <c:pt idx="147">
                  <c:v>-11.783416795919267</c:v>
                </c:pt>
                <c:pt idx="148">
                  <c:v>-11.92121403130546</c:v>
                </c:pt>
                <c:pt idx="149">
                  <c:v>-12.055379949414325</c:v>
                </c:pt>
                <c:pt idx="150">
                  <c:v>-12.185873682007509</c:v>
                </c:pt>
                <c:pt idx="151">
                  <c:v>-12.312655479429944</c:v>
                </c:pt>
                <c:pt idx="152">
                  <c:v>-12.435686722717971</c:v>
                </c:pt>
                <c:pt idx="153">
                  <c:v>-12.554929935363056</c:v>
                </c:pt>
                <c:pt idx="154">
                  <c:v>-12.670348794727497</c:v>
                </c:pt>
                <c:pt idx="155">
                  <c:v>-12.781908143108634</c:v>
                </c:pt>
                <c:pt idx="156">
                  <c:v>-12.889573998448256</c:v>
                </c:pt>
                <c:pt idx="157">
                  <c:v>-12.993313564683849</c:v>
                </c:pt>
                <c:pt idx="158">
                  <c:v>-13.093095241738578</c:v>
                </c:pt>
                <c:pt idx="159">
                  <c:v>-13.188888635147014</c:v>
                </c:pt>
                <c:pt idx="160">
                  <c:v>-13.280664565313552</c:v>
                </c:pt>
                <c:pt idx="161">
                  <c:v>-13.368395076400809</c:v>
                </c:pt>
                <c:pt idx="162">
                  <c:v>-13.452053444845243</c:v>
                </c:pt>
                <c:pt idx="163">
                  <c:v>-13.531614187497409</c:v>
                </c:pt>
                <c:pt idx="164">
                  <c:v>-13.607053069384373</c:v>
                </c:pt>
                <c:pt idx="165">
                  <c:v>-13.678347111091918</c:v>
                </c:pt>
                <c:pt idx="166">
                  <c:v>-13.745474595764303</c:v>
                </c:pt>
                <c:pt idx="167">
                  <c:v>-13.808415075719415</c:v>
                </c:pt>
                <c:pt idx="168">
                  <c:v>-13.867149378677345</c:v>
                </c:pt>
                <c:pt idx="169">
                  <c:v>-13.921659613600433</c:v>
                </c:pt>
                <c:pt idx="170">
                  <c:v>-13.971929176143076</c:v>
                </c:pt>
                <c:pt idx="171">
                  <c:v>-14.017942753709546</c:v>
                </c:pt>
                <c:pt idx="172">
                  <c:v>-14.059686330118382</c:v>
                </c:pt>
                <c:pt idx="173">
                  <c:v>-14.097147189871817</c:v>
                </c:pt>
                <c:pt idx="174">
                  <c:v>-14.130313922029089</c:v>
                </c:pt>
                <c:pt idx="175">
                  <c:v>-14.159176423682286</c:v>
                </c:pt>
                <c:pt idx="176">
                  <c:v>-14.183725903033809</c:v>
                </c:pt>
                <c:pt idx="177">
                  <c:v>-14.203954882074427</c:v>
                </c:pt>
                <c:pt idx="178">
                  <c:v>-14.219857198861165</c:v>
                </c:pt>
                <c:pt idx="179">
                  <c:v>-14.231428009394282</c:v>
                </c:pt>
                <c:pt idx="180">
                  <c:v>-14.238663789092797</c:v>
                </c:pt>
                <c:pt idx="181">
                  <c:v>-14.241562333868121</c:v>
                </c:pt>
                <c:pt idx="182">
                  <c:v>-14.240122760795437</c:v>
                </c:pt>
                <c:pt idx="183">
                  <c:v>-14.234345508382649</c:v>
                </c:pt>
                <c:pt idx="184">
                  <c:v>-14.224232336436804</c:v>
                </c:pt>
                <c:pt idx="185">
                  <c:v>-14.20978632552805</c:v>
                </c:pt>
                <c:pt idx="186">
                  <c:v>-14.191011876051249</c:v>
                </c:pt>
                <c:pt idx="187">
                  <c:v>-14.167914706885583</c:v>
                </c:pt>
                <c:pt idx="188">
                  <c:v>-14.140501853652529</c:v>
                </c:pt>
                <c:pt idx="189">
                  <c:v>-14.108781666572732</c:v>
                </c:pt>
                <c:pt idx="190">
                  <c:v>-14.072763807922462</c:v>
                </c:pt>
                <c:pt idx="191">
                  <c:v>-14.032459249090374</c:v>
                </c:pt>
                <c:pt idx="192">
                  <c:v>-13.987880267235528</c:v>
                </c:pt>
                <c:pt idx="193">
                  <c:v>-13.939040441547647</c:v>
                </c:pt>
                <c:pt idx="194">
                  <c:v>-13.885954649110751</c:v>
                </c:pt>
                <c:pt idx="195">
                  <c:v>-13.828639060371472</c:v>
                </c:pt>
                <c:pt idx="196">
                  <c:v>-13.767111134213371</c:v>
                </c:pt>
                <c:pt idx="197">
                  <c:v>-13.701389612638785</c:v>
                </c:pt>
                <c:pt idx="198">
                  <c:v>-13.631494515059853</c:v>
                </c:pt>
                <c:pt idx="199">
                  <c:v>-13.557447132200375</c:v>
                </c:pt>
                <c:pt idx="200">
                  <c:v>-13.479270019610494</c:v>
                </c:pt>
                <c:pt idx="201">
                  <c:v>-13.396986990796018</c:v>
                </c:pt>
                <c:pt idx="202">
                  <c:v>-13.310623109964618</c:v>
                </c:pt>
                <c:pt idx="203">
                  <c:v>-13.220204684391021</c:v>
                </c:pt>
                <c:pt idx="204">
                  <c:v>-13.12575925640356</c:v>
                </c:pt>
                <c:pt idx="205">
                  <c:v>-13.027315594994514</c:v>
                </c:pt>
                <c:pt idx="206">
                  <c:v>-12.924903687056791</c:v>
                </c:pt>
                <c:pt idx="207">
                  <c:v>-12.818554728249639</c:v>
                </c:pt>
                <c:pt idx="208">
                  <c:v>-12.708301113496132</c:v>
                </c:pt>
                <c:pt idx="209">
                  <c:v>-12.594176427115382</c:v>
                </c:pt>
                <c:pt idx="210">
                  <c:v>-12.476215432592401</c:v>
                </c:pt>
                <c:pt idx="211">
                  <c:v>-12.354454061988843</c:v>
                </c:pt>
                <c:pt idx="212">
                  <c:v>-12.228929404997716</c:v>
                </c:pt>
                <c:pt idx="213">
                  <c:v>-12.099679697645529</c:v>
                </c:pt>
                <c:pt idx="214">
                  <c:v>-11.966744310645211</c:v>
                </c:pt>
                <c:pt idx="215">
                  <c:v>-11.830163737403414</c:v>
                </c:pt>
                <c:pt idx="216">
                  <c:v>-11.689979581685837</c:v>
                </c:pt>
                <c:pt idx="217">
                  <c:v>-11.5462345449443</c:v>
                </c:pt>
                <c:pt idx="218">
                  <c:v>-11.398972413309489</c:v>
                </c:pt>
                <c:pt idx="219">
                  <c:v>-11.248238044253256</c:v>
                </c:pt>
                <c:pt idx="220">
                  <c:v>-11.094077352924618</c:v>
                </c:pt>
                <c:pt idx="221">
                  <c:v>-10.93653729816354</c:v>
                </c:pt>
                <c:pt idx="222">
                  <c:v>-10.775665868196821</c:v>
                </c:pt>
                <c:pt idx="223">
                  <c:v>-10.611512066020433</c:v>
                </c:pt>
                <c:pt idx="224">
                  <c:v>-10.444125894472707</c:v>
                </c:pt>
                <c:pt idx="225">
                  <c:v>-10.27355834100301</c:v>
                </c:pt>
                <c:pt idx="226">
                  <c:v>-10.099861362140444</c:v>
                </c:pt>
                <c:pt idx="227">
                  <c:v>-9.9230878676674212</c:v>
                </c:pt>
                <c:pt idx="228">
                  <c:v>-9.7432917045027914</c:v>
                </c:pt>
                <c:pt idx="229">
                  <c:v>-9.5605276402995862</c:v>
                </c:pt>
                <c:pt idx="230">
                  <c:v>-9.3748513467622381</c:v>
                </c:pt>
                <c:pt idx="231">
                  <c:v>-9.1863193826884419</c:v>
                </c:pt>
                <c:pt idx="232">
                  <c:v>-8.994989176740793</c:v>
                </c:pt>
                <c:pt idx="233">
                  <c:v>-8.8009190099535015</c:v>
                </c:pt>
                <c:pt idx="234">
                  <c:v>-8.6041679979793635</c:v>
                </c:pt>
                <c:pt idx="235">
                  <c:v>-8.4047960730825917</c:v>
                </c:pt>
                <c:pt idx="236">
                  <c:v>-8.2028639658828642</c:v>
                </c:pt>
                <c:pt idx="237">
                  <c:v>-7.9984331868562091</c:v>
                </c:pt>
                <c:pt idx="238">
                  <c:v>-7.7915660075982771</c:v>
                </c:pt>
                <c:pt idx="239">
                  <c:v>-7.5823254418558346</c:v>
                </c:pt>
                <c:pt idx="240">
                  <c:v>-7.3707752263321673</c:v>
                </c:pt>
                <c:pt idx="241">
                  <c:v>-7.1569798012722448</c:v>
                </c:pt>
                <c:pt idx="242">
                  <c:v>-6.9410042908336465</c:v>
                </c:pt>
                <c:pt idx="243">
                  <c:v>-6.7229144832490411</c:v>
                </c:pt>
                <c:pt idx="244">
                  <c:v>-6.5027768107865045</c:v>
                </c:pt>
                <c:pt idx="245">
                  <c:v>-6.2806583295135763</c:v>
                </c:pt>
                <c:pt idx="246">
                  <c:v>-6.0566266988713862</c:v>
                </c:pt>
                <c:pt idx="247">
                  <c:v>-5.8307501610648611</c:v>
                </c:pt>
                <c:pt idx="248">
                  <c:v>-5.6030975202755293</c:v>
                </c:pt>
                <c:pt idx="249">
                  <c:v>-5.3737381217030959</c:v>
                </c:pt>
                <c:pt idx="250">
                  <c:v>-5.1427418304422119</c:v>
                </c:pt>
                <c:pt idx="251">
                  <c:v>-4.9101790102009275</c:v>
                </c:pt>
                <c:pt idx="252">
                  <c:v>-4.6761205018671639</c:v>
                </c:pt>
                <c:pt idx="253">
                  <c:v>-4.440637601929935</c:v>
                </c:pt>
                <c:pt idx="254">
                  <c:v>-4.2038020407617243</c:v>
                </c:pt>
                <c:pt idx="255">
                  <c:v>-3.9656859607687629</c:v>
                </c:pt>
                <c:pt idx="256">
                  <c:v>-3.7263618944156907</c:v>
                </c:pt>
                <c:pt idx="257">
                  <c:v>-3.485902742131501</c:v>
                </c:pt>
                <c:pt idx="258">
                  <c:v>-3.2443817501033601</c:v>
                </c:pt>
                <c:pt idx="259">
                  <c:v>-3.0018724879650938</c:v>
                </c:pt>
                <c:pt idx="260">
                  <c:v>-2.7584488263872129</c:v>
                </c:pt>
                <c:pt idx="261">
                  <c:v>-2.5141849145751212</c:v>
                </c:pt>
                <c:pt idx="262">
                  <c:v>-2.2691551576825941</c:v>
                </c:pt>
                <c:pt idx="263">
                  <c:v>-2.0234341941472245</c:v>
                </c:pt>
                <c:pt idx="264">
                  <c:v>-1.7770968729548831</c:v>
                </c:pt>
                <c:pt idx="265">
                  <c:v>-1.5302182308399153</c:v>
                </c:pt>
                <c:pt idx="266">
                  <c:v>-1.2828734694282771</c:v>
                </c:pt>
                <c:pt idx="267">
                  <c:v>-1.0351379323303767</c:v>
                </c:pt>
                <c:pt idx="268">
                  <c:v>-0.78708708219066958</c:v>
                </c:pt>
                <c:pt idx="269">
                  <c:v>-0.53879647770105588</c:v>
                </c:pt>
                <c:pt idx="270">
                  <c:v>-0.29034175058489586</c:v>
                </c:pt>
                <c:pt idx="271">
                  <c:v>-4.1798582558904007E-2</c:v>
                </c:pt>
                <c:pt idx="272">
                  <c:v>0.20675731772025996</c:v>
                </c:pt>
                <c:pt idx="273">
                  <c:v>0.4552502377175307</c:v>
                </c:pt>
                <c:pt idx="274">
                  <c:v>0.70360448408228438</c:v>
                </c:pt>
                <c:pt idx="275">
                  <c:v>0.9517444057052169</c:v>
                </c:pt>
                <c:pt idx="276">
                  <c:v>1.1995944167624164</c:v>
                </c:pt>
                <c:pt idx="277">
                  <c:v>1.4470790197395511</c:v>
                </c:pt>
                <c:pt idx="278">
                  <c:v>1.694122828429091</c:v>
                </c:pt>
                <c:pt idx="279">
                  <c:v>1.940650590893755</c:v>
                </c:pt>
                <c:pt idx="280">
                  <c:v>2.1865872123889289</c:v>
                </c:pt>
                <c:pt idx="281">
                  <c:v>2.431857778237275</c:v>
                </c:pt>
                <c:pt idx="282">
                  <c:v>2.6763875766484224</c:v>
                </c:pt>
                <c:pt idx="283">
                  <c:v>2.9201021214769747</c:v>
                </c:pt>
                <c:pt idx="284">
                  <c:v>3.1629271749116596</c:v>
                </c:pt>
                <c:pt idx="285">
                  <c:v>3.4047887700889037</c:v>
                </c:pt>
                <c:pt idx="286">
                  <c:v>3.6456132336238611</c:v>
                </c:pt>
                <c:pt idx="287">
                  <c:v>3.8853272080519963</c:v>
                </c:pt>
                <c:pt idx="288">
                  <c:v>4.1238576741745483</c:v>
                </c:pt>
                <c:pt idx="289">
                  <c:v>4.361131973300842</c:v>
                </c:pt>
                <c:pt idx="290">
                  <c:v>4.5970778293808445</c:v>
                </c:pt>
                <c:pt idx="291">
                  <c:v>4.8316233710211147</c:v>
                </c:pt>
                <c:pt idx="292">
                  <c:v>5.0646971533775833</c:v>
                </c:pt>
                <c:pt idx="293">
                  <c:v>5.2962281799183106</c:v>
                </c:pt>
                <c:pt idx="294">
                  <c:v>5.5261459240497208</c:v>
                </c:pt>
                <c:pt idx="295">
                  <c:v>5.7543803505996989</c:v>
                </c:pt>
                <c:pt idx="296">
                  <c:v>5.9808619371509399</c:v>
                </c:pt>
                <c:pt idx="297">
                  <c:v>6.2055216952182137</c:v>
                </c:pt>
                <c:pt idx="298">
                  <c:v>6.4282911912628853</c:v>
                </c:pt>
                <c:pt idx="299">
                  <c:v>6.6491025675384545</c:v>
                </c:pt>
                <c:pt idx="300">
                  <c:v>6.8678885627606379</c:v>
                </c:pt>
                <c:pt idx="301">
                  <c:v>7.0845825325958716</c:v>
                </c:pt>
                <c:pt idx="302">
                  <c:v>7.2991184699617868</c:v>
                </c:pt>
                <c:pt idx="303">
                  <c:v>7.5114310251336027</c:v>
                </c:pt>
                <c:pt idx="304">
                  <c:v>7.7214555256503079</c:v>
                </c:pt>
                <c:pt idx="305">
                  <c:v>7.9291279960144694</c:v>
                </c:pt>
                <c:pt idx="306">
                  <c:v>8.1343851771798565</c:v>
                </c:pt>
                <c:pt idx="307">
                  <c:v>8.337164545820718</c:v>
                </c:pt>
                <c:pt idx="308">
                  <c:v>8.5374043333770064</c:v>
                </c:pt>
                <c:pt idx="309">
                  <c:v>8.735043544869642</c:v>
                </c:pt>
                <c:pt idx="310">
                  <c:v>8.9300219774802478</c:v>
                </c:pt>
                <c:pt idx="311">
                  <c:v>9.1222802388894468</c:v>
                </c:pt>
                <c:pt idx="312">
                  <c:v>9.3117597653683646</c:v>
                </c:pt>
                <c:pt idx="313">
                  <c:v>9.498402839617718</c:v>
                </c:pt>
                <c:pt idx="314">
                  <c:v>9.6821526083490212</c:v>
                </c:pt>
                <c:pt idx="315">
                  <c:v>9.8629530996027057</c:v>
                </c:pt>
                <c:pt idx="316">
                  <c:v>10.040749239797675</c:v>
                </c:pt>
                <c:pt idx="317">
                  <c:v>10.215486870507291</c:v>
                </c:pt>
                <c:pt idx="318">
                  <c:v>10.387112764956498</c:v>
                </c:pt>
                <c:pt idx="319">
                  <c:v>10.555574644235278</c:v>
                </c:pt>
                <c:pt idx="320">
                  <c:v>10.720821193223276</c:v>
                </c:pt>
                <c:pt idx="321">
                  <c:v>10.882802076220894</c:v>
                </c:pt>
                <c:pt idx="322">
                  <c:v>11.041467952282028</c:v>
                </c:pt>
                <c:pt idx="323">
                  <c:v>11.196770490243791</c:v>
                </c:pt>
                <c:pt idx="324">
                  <c:v>11.348662383448673</c:v>
                </c:pt>
                <c:pt idx="325">
                  <c:v>11.497097364154595</c:v>
                </c:pt>
                <c:pt idx="326">
                  <c:v>11.64203021762852</c:v>
                </c:pt>
                <c:pt idx="327">
                  <c:v>11.783416795919271</c:v>
                </c:pt>
                <c:pt idx="328">
                  <c:v>11.92121403130546</c:v>
                </c:pt>
                <c:pt idx="329">
                  <c:v>12.055379949414323</c:v>
                </c:pt>
                <c:pt idx="330">
                  <c:v>12.185873682007504</c:v>
                </c:pt>
                <c:pt idx="331">
                  <c:v>12.312655479429946</c:v>
                </c:pt>
                <c:pt idx="332">
                  <c:v>12.435686722717969</c:v>
                </c:pt>
                <c:pt idx="333">
                  <c:v>12.554929935363056</c:v>
                </c:pt>
                <c:pt idx="334">
                  <c:v>12.670348794727493</c:v>
                </c:pt>
                <c:pt idx="335">
                  <c:v>12.781908143108636</c:v>
                </c:pt>
                <c:pt idx="336">
                  <c:v>12.88957399844826</c:v>
                </c:pt>
                <c:pt idx="337">
                  <c:v>12.993313564683847</c:v>
                </c:pt>
                <c:pt idx="338">
                  <c:v>13.093095241738578</c:v>
                </c:pt>
                <c:pt idx="339">
                  <c:v>13.188888635147011</c:v>
                </c:pt>
                <c:pt idx="340">
                  <c:v>13.280664565313552</c:v>
                </c:pt>
                <c:pt idx="341">
                  <c:v>13.368395076400809</c:v>
                </c:pt>
                <c:pt idx="342">
                  <c:v>13.452053444845243</c:v>
                </c:pt>
                <c:pt idx="343">
                  <c:v>13.531614187497405</c:v>
                </c:pt>
                <c:pt idx="344">
                  <c:v>13.607053069384373</c:v>
                </c:pt>
                <c:pt idx="345">
                  <c:v>13.67834711109192</c:v>
                </c:pt>
                <c:pt idx="346">
                  <c:v>13.745474595764303</c:v>
                </c:pt>
                <c:pt idx="347">
                  <c:v>13.808415075719415</c:v>
                </c:pt>
                <c:pt idx="348">
                  <c:v>13.867149378677343</c:v>
                </c:pt>
                <c:pt idx="349">
                  <c:v>13.921659613600434</c:v>
                </c:pt>
                <c:pt idx="350">
                  <c:v>13.971929176143076</c:v>
                </c:pt>
                <c:pt idx="351">
                  <c:v>14.017942753709546</c:v>
                </c:pt>
                <c:pt idx="352">
                  <c:v>14.05968633011838</c:v>
                </c:pt>
                <c:pt idx="353">
                  <c:v>14.097147189871819</c:v>
                </c:pt>
                <c:pt idx="354">
                  <c:v>14.130313922029089</c:v>
                </c:pt>
                <c:pt idx="355">
                  <c:v>14.159176423682286</c:v>
                </c:pt>
                <c:pt idx="356">
                  <c:v>14.183725903033809</c:v>
                </c:pt>
                <c:pt idx="357">
                  <c:v>14.203954882074427</c:v>
                </c:pt>
                <c:pt idx="358">
                  <c:v>14.219857198861167</c:v>
                </c:pt>
                <c:pt idx="359">
                  <c:v>14.231428009394282</c:v>
                </c:pt>
                <c:pt idx="360">
                  <c:v>14.238663789092797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7B-4C1E-B561-19BE496BF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2368"/>
        <c:axId val="6882848"/>
      </c:scatterChart>
      <c:valAx>
        <c:axId val="6882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Arial Nova Cond Light" panose="020B0306020202020204" pitchFamily="34" charset="0"/>
                    <a:ea typeface="+mn-ea"/>
                    <a:cs typeface="+mn-cs"/>
                  </a:defRPr>
                </a:pPr>
                <a:r>
                  <a:rPr lang="it-IT" sz="1600" b="1"/>
                  <a:t>Horizontal load, </a:t>
                </a:r>
                <a:r>
                  <a:rPr lang="it-IT" sz="1600" b="1" i="1"/>
                  <a:t>H</a:t>
                </a:r>
                <a:r>
                  <a:rPr lang="it-IT" sz="1600" b="1" i="0" baseline="0"/>
                  <a:t> [MN]</a:t>
                </a:r>
                <a:endParaRPr lang="it-IT" sz="1600" b="1"/>
              </a:p>
            </c:rich>
          </c:tx>
          <c:layout>
            <c:manualLayout>
              <c:xMode val="edge"/>
              <c:yMode val="edge"/>
              <c:x val="0.35151994991451763"/>
              <c:y val="0.942274379164142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Arial Nova Cond Light" panose="020B0306020202020204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 Nova Cond Light" panose="020B0306020202020204" pitchFamily="34" charset="0"/>
                <a:ea typeface="+mn-ea"/>
                <a:cs typeface="+mn-cs"/>
              </a:defRPr>
            </a:pPr>
            <a:endParaRPr lang="it-IT"/>
          </a:p>
        </c:txPr>
        <c:crossAx val="6882848"/>
        <c:crosses val="autoZero"/>
        <c:crossBetween val="midCat"/>
      </c:valAx>
      <c:valAx>
        <c:axId val="688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rial Nova Cond Light" panose="020B0306020202020204" pitchFamily="34" charset="0"/>
                    <a:ea typeface="+mn-ea"/>
                    <a:cs typeface="+mn-cs"/>
                  </a:defRPr>
                </a:pPr>
                <a:r>
                  <a:rPr lang="it-IT" sz="1600" b="1" i="0" u="none" strike="noStrike" kern="1200" baseline="0">
                    <a:solidFill>
                      <a:sysClr val="windowText" lastClr="000000"/>
                    </a:solidFill>
                    <a:latin typeface="Arial Nova Cond Light" panose="020B0306020202020204" pitchFamily="34" charset="0"/>
                  </a:rPr>
                  <a:t>Moment, </a:t>
                </a:r>
                <a:r>
                  <a:rPr lang="it-IT" sz="1600" b="1" i="1" u="none" strike="noStrike" kern="1200" baseline="0">
                    <a:solidFill>
                      <a:sysClr val="windowText" lastClr="000000"/>
                    </a:solidFill>
                    <a:latin typeface="Arial Nova Cond Light" panose="020B0306020202020204" pitchFamily="34" charset="0"/>
                  </a:rPr>
                  <a:t>M</a:t>
                </a:r>
                <a:r>
                  <a:rPr lang="en-GB" sz="1600" b="1" i="0" u="none" strike="noStrike" kern="1200" baseline="0">
                    <a:solidFill>
                      <a:sysClr val="windowText" lastClr="000000"/>
                    </a:solidFill>
                    <a:latin typeface="Arial Nova Cond Light" panose="020B0306020202020204" pitchFamily="34" charset="0"/>
                  </a:rPr>
                  <a:t> [MNm]</a:t>
                </a:r>
                <a:endParaRPr lang="it-IT" sz="1600" b="1" i="0" u="none" strike="noStrike" kern="1200" baseline="0">
                  <a:solidFill>
                    <a:sysClr val="windowText" lastClr="000000"/>
                  </a:solidFill>
                  <a:latin typeface="Arial Nova Cond Light" panose="020B0306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4.8929663608562688E-3"/>
              <c:y val="0.338094147486371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Arial Nova Cond Light" panose="020B0306020202020204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 Nova Cond Light" panose="020B0306020202020204" pitchFamily="34" charset="0"/>
                <a:ea typeface="+mn-ea"/>
                <a:cs typeface="+mn-cs"/>
              </a:defRPr>
            </a:pPr>
            <a:endParaRPr lang="it-IT"/>
          </a:p>
        </c:txPr>
        <c:crossAx val="6882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chemeClr val="tx1"/>
          </a:solidFill>
          <a:latin typeface="Arial Nova Cond Light" panose="020B0306020202020204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593724</xdr:colOff>
      <xdr:row>2</xdr:row>
      <xdr:rowOff>57150</xdr:rowOff>
    </xdr:from>
    <xdr:to>
      <xdr:col>27</xdr:col>
      <xdr:colOff>298449</xdr:colOff>
      <xdr:row>29</xdr:row>
      <xdr:rowOff>44450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8C6E9DDC-A464-4D2A-9907-0313E2100A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266700</xdr:colOff>
      <xdr:row>2</xdr:row>
      <xdr:rowOff>69850</xdr:rowOff>
    </xdr:from>
    <xdr:to>
      <xdr:col>18</xdr:col>
      <xdr:colOff>581025</xdr:colOff>
      <xdr:row>29</xdr:row>
      <xdr:rowOff>57150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F988F542-3281-4D0F-9482-C8AFBE4BDF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0B70F-F9A2-4287-A5CC-76F496DBB50B}">
  <dimension ref="A2:J567"/>
  <sheetViews>
    <sheetView tabSelected="1" workbookViewId="0">
      <selection activeCell="C38" sqref="C38"/>
    </sheetView>
  </sheetViews>
  <sheetFormatPr defaultRowHeight="14" x14ac:dyDescent="0.35"/>
  <cols>
    <col min="1" max="1" width="73.7265625" style="1" bestFit="1" customWidth="1"/>
    <col min="2" max="2" width="11.36328125" style="1" bestFit="1" customWidth="1"/>
    <col min="3" max="16384" width="8.7265625" style="1"/>
  </cols>
  <sheetData>
    <row r="2" spans="1:10" ht="45" x14ac:dyDescent="0.35">
      <c r="A2" s="15" t="s">
        <v>49</v>
      </c>
      <c r="B2" s="16" t="s">
        <v>22</v>
      </c>
      <c r="C2" s="16"/>
    </row>
    <row r="3" spans="1:10" ht="17" x14ac:dyDescent="0.35">
      <c r="A3" s="7" t="s">
        <v>23</v>
      </c>
      <c r="B3" s="4" t="s">
        <v>0</v>
      </c>
      <c r="C3" s="5">
        <v>5</v>
      </c>
      <c r="E3" s="13" t="s">
        <v>12</v>
      </c>
      <c r="F3" s="13" t="s">
        <v>11</v>
      </c>
      <c r="G3" s="13" t="s">
        <v>13</v>
      </c>
      <c r="H3" s="13" t="s">
        <v>14</v>
      </c>
      <c r="I3" s="13" t="s">
        <v>44</v>
      </c>
      <c r="J3" s="13" t="s">
        <v>45</v>
      </c>
    </row>
    <row r="4" spans="1:10" ht="15" x14ac:dyDescent="0.35">
      <c r="A4" s="7" t="s">
        <v>24</v>
      </c>
      <c r="B4" s="4" t="s">
        <v>1</v>
      </c>
      <c r="C4" s="5">
        <v>5</v>
      </c>
      <c r="E4" s="1">
        <v>0</v>
      </c>
      <c r="F4" s="3">
        <f>RADIANS(E4)</f>
        <v>0</v>
      </c>
      <c r="G4" s="3">
        <f t="shared" ref="G4:G67" si="0">$C$29*SIN(F4)*COS($C$24)-$C$28*COS(F4)*SIN($C$24)</f>
        <v>-3.3259781670978792</v>
      </c>
      <c r="H4" s="3">
        <f t="shared" ref="H4:H67" si="1">$C$29*SIN(F4)*SIN($C$24)+$C$28*COS(F4)*COS($C$24)</f>
        <v>14.238663789092797</v>
      </c>
      <c r="I4" s="3">
        <f>G4*1000/($C$5*$C$3^3)</f>
        <v>-3.3259781670978792</v>
      </c>
      <c r="J4" s="3">
        <f>H4*1000/($C$5*$C$3^4)</f>
        <v>2.8477327578185596</v>
      </c>
    </row>
    <row r="5" spans="1:10" ht="17" x14ac:dyDescent="0.35">
      <c r="A5" s="7" t="s">
        <v>25</v>
      </c>
      <c r="B5" s="6" t="s">
        <v>29</v>
      </c>
      <c r="C5" s="5">
        <v>8</v>
      </c>
      <c r="E5" s="1">
        <f>E4+1</f>
        <v>1</v>
      </c>
      <c r="F5" s="3">
        <f t="shared" ref="F5:F68" si="2">RADIANS(E5)</f>
        <v>1.7453292519943295E-2</v>
      </c>
      <c r="G5" s="3">
        <f t="shared" si="0"/>
        <v>-3.3037788525373397</v>
      </c>
      <c r="H5" s="3">
        <f t="shared" si="1"/>
        <v>14.241562333868121</v>
      </c>
      <c r="I5" s="3">
        <f t="shared" ref="I5:I68" si="3">G5*1000/($C$5*$C$3^3)</f>
        <v>-3.3037788525373397</v>
      </c>
      <c r="J5" s="3">
        <f t="shared" ref="J5:J68" si="4">H5*1000/($C$5*$C$3^4)</f>
        <v>2.8483124667736242</v>
      </c>
    </row>
    <row r="6" spans="1:10" ht="16" x14ac:dyDescent="0.35">
      <c r="A6" s="7" t="s">
        <v>26</v>
      </c>
      <c r="B6" s="4" t="s">
        <v>30</v>
      </c>
      <c r="C6" s="5">
        <v>35</v>
      </c>
      <c r="E6" s="1">
        <f t="shared" ref="E6:E69" si="5">E5+1</f>
        <v>2</v>
      </c>
      <c r="F6" s="3">
        <f t="shared" si="2"/>
        <v>3.4906585039886591E-2</v>
      </c>
      <c r="G6" s="3">
        <f t="shared" si="0"/>
        <v>-3.2805731749338931</v>
      </c>
      <c r="H6" s="3">
        <f t="shared" si="1"/>
        <v>14.240122760795437</v>
      </c>
      <c r="I6" s="3">
        <f t="shared" si="3"/>
        <v>-3.2805731749338931</v>
      </c>
      <c r="J6" s="3">
        <f t="shared" si="4"/>
        <v>2.8480245521590875</v>
      </c>
    </row>
    <row r="7" spans="1:10" ht="18" x14ac:dyDescent="0.35">
      <c r="A7" s="7" t="s">
        <v>27</v>
      </c>
      <c r="B7" s="4" t="s">
        <v>31</v>
      </c>
      <c r="C7" s="5">
        <v>0.5</v>
      </c>
      <c r="E7" s="1">
        <f t="shared" si="5"/>
        <v>3</v>
      </c>
      <c r="F7" s="3">
        <f t="shared" si="2"/>
        <v>5.235987755982989E-2</v>
      </c>
      <c r="G7" s="3">
        <f t="shared" si="0"/>
        <v>-3.2563682029617356</v>
      </c>
      <c r="H7" s="3">
        <f t="shared" si="1"/>
        <v>14.234345508382649</v>
      </c>
      <c r="I7" s="3">
        <f t="shared" si="3"/>
        <v>-3.2563682029617356</v>
      </c>
      <c r="J7" s="3">
        <f t="shared" si="4"/>
        <v>2.8468691016765297</v>
      </c>
    </row>
    <row r="8" spans="1:10" ht="15" x14ac:dyDescent="0.35">
      <c r="A8" s="7" t="s">
        <v>28</v>
      </c>
      <c r="B8" s="4" t="s">
        <v>2</v>
      </c>
      <c r="C8" s="5">
        <v>20</v>
      </c>
      <c r="E8" s="1">
        <f t="shared" si="5"/>
        <v>4</v>
      </c>
      <c r="F8" s="3">
        <f t="shared" si="2"/>
        <v>6.9813170079773182E-2</v>
      </c>
      <c r="G8" s="3">
        <f t="shared" si="0"/>
        <v>-3.2311713096898087</v>
      </c>
      <c r="H8" s="3">
        <f t="shared" si="1"/>
        <v>14.224232336436804</v>
      </c>
      <c r="I8" s="3">
        <f t="shared" si="3"/>
        <v>-3.2311713096898087</v>
      </c>
      <c r="J8" s="3">
        <f t="shared" si="4"/>
        <v>2.8448464672873608</v>
      </c>
    </row>
    <row r="9" spans="1:10" x14ac:dyDescent="0.35">
      <c r="E9" s="1">
        <f t="shared" si="5"/>
        <v>5</v>
      </c>
      <c r="F9" s="3">
        <f t="shared" si="2"/>
        <v>8.7266462599716474E-2</v>
      </c>
      <c r="G9" s="3">
        <f t="shared" si="0"/>
        <v>-3.2049901703358912</v>
      </c>
      <c r="H9" s="3">
        <f t="shared" si="1"/>
        <v>14.20978632552805</v>
      </c>
      <c r="I9" s="3">
        <f t="shared" si="3"/>
        <v>-3.2049901703358912</v>
      </c>
      <c r="J9" s="3">
        <f t="shared" si="4"/>
        <v>2.8419572651056102</v>
      </c>
    </row>
    <row r="10" spans="1:10" ht="16" x14ac:dyDescent="0.35">
      <c r="A10" s="10" t="s">
        <v>32</v>
      </c>
      <c r="B10" s="9" t="s">
        <v>5</v>
      </c>
      <c r="C10" s="8">
        <f>(1+SIN(RADIANS(C6)))/(1-SIN(RADIANS(C6)))</f>
        <v>3.6901723321426636</v>
      </c>
      <c r="E10" s="1">
        <f t="shared" si="5"/>
        <v>6</v>
      </c>
      <c r="F10" s="3">
        <f t="shared" si="2"/>
        <v>0.10471975511965978</v>
      </c>
      <c r="G10" s="3">
        <f t="shared" si="0"/>
        <v>-3.177832759928652</v>
      </c>
      <c r="H10" s="3">
        <f t="shared" si="1"/>
        <v>14.191011876051249</v>
      </c>
      <c r="I10" s="3">
        <f t="shared" si="3"/>
        <v>-3.177832759928652</v>
      </c>
      <c r="J10" s="3">
        <f t="shared" si="4"/>
        <v>2.8382023752102499</v>
      </c>
    </row>
    <row r="11" spans="1:10" x14ac:dyDescent="0.35">
      <c r="A11" s="11"/>
      <c r="B11" s="9" t="s">
        <v>3</v>
      </c>
      <c r="C11" s="8">
        <f>ASIN(SIN(RADIANS(C8))/SIN(RADIANS(C6)))+RADIANS(C8)</f>
        <v>0.98794236641426525</v>
      </c>
      <c r="E11" s="1">
        <f t="shared" si="5"/>
        <v>7</v>
      </c>
      <c r="F11" s="3">
        <f t="shared" si="2"/>
        <v>0.12217304763960307</v>
      </c>
      <c r="G11" s="3">
        <f t="shared" si="0"/>
        <v>-3.1497073508783817</v>
      </c>
      <c r="H11" s="3">
        <f t="shared" si="1"/>
        <v>14.167914706885581</v>
      </c>
      <c r="I11" s="3">
        <f t="shared" si="3"/>
        <v>-3.1497073508783817</v>
      </c>
      <c r="J11" s="3">
        <f t="shared" si="4"/>
        <v>2.8335829413771161</v>
      </c>
    </row>
    <row r="12" spans="1:10" ht="16" x14ac:dyDescent="0.35">
      <c r="A12" s="10" t="s">
        <v>33</v>
      </c>
      <c r="B12" s="9" t="s">
        <v>6</v>
      </c>
      <c r="C12" s="8">
        <f>(COS(RADIANS($C$8))/(1-SIN(RADIANS(C6)))*(COS(RADIANS($C$8))+SQRT(SIN(RADIANS(C6))^2-SIN(RADIANS($C$8))^2)))*EXP(C11*TAN(RADIANS(C6)))</f>
        <v>6.1623419577549425</v>
      </c>
      <c r="E12" s="1">
        <f t="shared" si="5"/>
        <v>8</v>
      </c>
      <c r="F12" s="3">
        <f t="shared" si="2"/>
        <v>0.13962634015954636</v>
      </c>
      <c r="G12" s="3">
        <f t="shared" si="0"/>
        <v>-3.1206225104571339</v>
      </c>
      <c r="H12" s="3">
        <f t="shared" si="1"/>
        <v>14.140501853652527</v>
      </c>
      <c r="I12" s="3">
        <f t="shared" si="3"/>
        <v>-3.1206225104571339</v>
      </c>
      <c r="J12" s="3">
        <f t="shared" si="4"/>
        <v>2.8281003707305055</v>
      </c>
    </row>
    <row r="13" spans="1:10" x14ac:dyDescent="0.35">
      <c r="A13" s="11"/>
      <c r="B13" s="9" t="s">
        <v>4</v>
      </c>
      <c r="C13" s="8">
        <f>ASIN(SIN(RADIANS(C8))/SIN(RADIANS(C6)))-RADIANS(C8)</f>
        <v>0.2898106656165334</v>
      </c>
      <c r="E13" s="1">
        <f t="shared" si="5"/>
        <v>9</v>
      </c>
      <c r="F13" s="3">
        <f t="shared" si="2"/>
        <v>0.15707963267948966</v>
      </c>
      <c r="G13" s="3">
        <f t="shared" si="0"/>
        <v>-3.0905870981890513</v>
      </c>
      <c r="H13" s="3">
        <f t="shared" si="1"/>
        <v>14.108781666572732</v>
      </c>
      <c r="I13" s="3">
        <f t="shared" si="3"/>
        <v>-3.0905870981890513</v>
      </c>
      <c r="J13" s="3">
        <f t="shared" si="4"/>
        <v>2.8217563333145463</v>
      </c>
    </row>
    <row r="14" spans="1:10" ht="16" x14ac:dyDescent="0.35">
      <c r="A14" s="10" t="s">
        <v>34</v>
      </c>
      <c r="B14" s="9" t="s">
        <v>7</v>
      </c>
      <c r="C14" s="8">
        <f>(COS(RADIANS($C$8))/(1+SIN(RADIANS(C6)))*(COS(RADIANS($C$8))-SQRT(SIN(RADIANS(C6))^2-SIN(RADIANS($C$8))^2)))*EXP(-C13*TAN(RADIANS(C6)))</f>
        <v>0.23362810415226595</v>
      </c>
      <c r="E14" s="1">
        <f t="shared" si="5"/>
        <v>10</v>
      </c>
      <c r="F14" s="3">
        <f t="shared" si="2"/>
        <v>0.17453292519943295</v>
      </c>
      <c r="G14" s="3">
        <f t="shared" si="0"/>
        <v>-3.0596102631516708</v>
      </c>
      <c r="H14" s="3">
        <f t="shared" si="1"/>
        <v>14.072763807922462</v>
      </c>
      <c r="I14" s="3">
        <f t="shared" si="3"/>
        <v>-3.0596102631516708</v>
      </c>
      <c r="J14" s="3">
        <f t="shared" si="4"/>
        <v>2.8145527615844923</v>
      </c>
    </row>
    <row r="15" spans="1:10" ht="16" x14ac:dyDescent="0.35">
      <c r="A15" s="10" t="s">
        <v>35</v>
      </c>
      <c r="B15" s="9" t="s">
        <v>15</v>
      </c>
      <c r="C15" s="8">
        <f>(PI()/4*(C12-C14)+TAN(RADIANS(C8))/2*(C12+C14+2*$C$7))</f>
        <v>6.0023574499576435</v>
      </c>
      <c r="E15" s="1">
        <f t="shared" si="5"/>
        <v>11</v>
      </c>
      <c r="F15" s="3">
        <f t="shared" si="2"/>
        <v>0.19198621771937624</v>
      </c>
      <c r="G15" s="3">
        <f t="shared" si="0"/>
        <v>-3.0277014411890244</v>
      </c>
      <c r="H15" s="3">
        <f t="shared" si="1"/>
        <v>14.032459249090374</v>
      </c>
      <c r="I15" s="3">
        <f t="shared" si="3"/>
        <v>-3.0277014411890244</v>
      </c>
      <c r="J15" s="3">
        <f t="shared" si="4"/>
        <v>2.8064918498180749</v>
      </c>
    </row>
    <row r="16" spans="1:10" x14ac:dyDescent="0.35">
      <c r="B16" s="2"/>
      <c r="E16" s="1">
        <f t="shared" si="5"/>
        <v>12</v>
      </c>
      <c r="F16" s="3">
        <f t="shared" si="2"/>
        <v>0.20943951023931956</v>
      </c>
      <c r="G16" s="3">
        <f t="shared" si="0"/>
        <v>-2.9948703520373892</v>
      </c>
      <c r="H16" s="3">
        <f t="shared" si="1"/>
        <v>13.98788026723553</v>
      </c>
      <c r="I16" s="3">
        <f t="shared" si="3"/>
        <v>-2.9948703520373892</v>
      </c>
      <c r="J16" s="3">
        <f t="shared" si="4"/>
        <v>2.7975760534471061</v>
      </c>
    </row>
    <row r="17" spans="1:10" ht="16" x14ac:dyDescent="0.35">
      <c r="A17" s="10" t="s">
        <v>36</v>
      </c>
      <c r="B17" s="9" t="s">
        <v>16</v>
      </c>
      <c r="C17" s="8">
        <f>(C15*C5*C3*C4^2*(1-0.5)+C5*C4*PI()*C3^2/4*TAN(RADIANS(C6)))/1000</f>
        <v>3.5511204394857763</v>
      </c>
      <c r="E17" s="1">
        <f t="shared" si="5"/>
        <v>13</v>
      </c>
      <c r="F17" s="3">
        <f t="shared" si="2"/>
        <v>0.22689280275926285</v>
      </c>
      <c r="G17" s="3">
        <f t="shared" si="0"/>
        <v>-2.9611269963645634</v>
      </c>
      <c r="H17" s="3">
        <f t="shared" si="1"/>
        <v>13.939040441547647</v>
      </c>
      <c r="I17" s="3">
        <f t="shared" si="3"/>
        <v>-2.9611269963645634</v>
      </c>
      <c r="J17" s="3">
        <f t="shared" si="4"/>
        <v>2.7878080883095291</v>
      </c>
    </row>
    <row r="18" spans="1:10" ht="16" x14ac:dyDescent="0.35">
      <c r="A18" s="10" t="s">
        <v>37</v>
      </c>
      <c r="B18" s="9" t="s">
        <v>19</v>
      </c>
      <c r="C18" s="8">
        <f>(C15*C5*C3*C4^2*((0.5^(1/3)+C3/(10*C4))^2-0.5)-C5*C4*PI()*C3^2/4*TAN(RADIANS(C6)))/1000</f>
        <v>1.2429662381464668</v>
      </c>
      <c r="E18" s="1">
        <f t="shared" si="5"/>
        <v>14</v>
      </c>
      <c r="F18" s="3">
        <f t="shared" si="2"/>
        <v>0.24434609527920614</v>
      </c>
      <c r="G18" s="3">
        <f t="shared" si="0"/>
        <v>-2.9264816527235631</v>
      </c>
      <c r="H18" s="3">
        <f t="shared" si="1"/>
        <v>13.885954649110751</v>
      </c>
      <c r="I18" s="3">
        <f t="shared" si="3"/>
        <v>-2.9264816527235631</v>
      </c>
      <c r="J18" s="3">
        <f t="shared" si="4"/>
        <v>2.77719092982215</v>
      </c>
    </row>
    <row r="19" spans="1:10" ht="18" x14ac:dyDescent="0.35">
      <c r="A19" s="10"/>
      <c r="B19" s="19" t="s">
        <v>50</v>
      </c>
      <c r="C19" s="20">
        <v>0.38712893534959436</v>
      </c>
      <c r="E19" s="1">
        <f t="shared" si="5"/>
        <v>15</v>
      </c>
      <c r="F19" s="3">
        <f t="shared" si="2"/>
        <v>0.26179938779914941</v>
      </c>
      <c r="G19" s="3">
        <f t="shared" si="0"/>
        <v>-2.8909448744216792</v>
      </c>
      <c r="H19" s="3">
        <f t="shared" si="1"/>
        <v>13.828639060371472</v>
      </c>
      <c r="I19" s="3">
        <f t="shared" si="3"/>
        <v>-2.8909448744216792</v>
      </c>
      <c r="J19" s="3">
        <f t="shared" si="4"/>
        <v>2.7657278120742945</v>
      </c>
    </row>
    <row r="20" spans="1:10" ht="16" x14ac:dyDescent="0.35">
      <c r="A20" s="10"/>
      <c r="B20" s="12" t="s">
        <v>17</v>
      </c>
      <c r="C20" s="8">
        <f>ACOS(2*C19)</f>
        <v>0.68525471494677337</v>
      </c>
      <c r="E20" s="1">
        <f t="shared" si="5"/>
        <v>16</v>
      </c>
      <c r="F20" s="3">
        <f t="shared" si="2"/>
        <v>0.27925268031909273</v>
      </c>
      <c r="G20" s="3">
        <f t="shared" si="0"/>
        <v>-2.8545274863058343</v>
      </c>
      <c r="H20" s="3">
        <f t="shared" si="1"/>
        <v>13.767111134213371</v>
      </c>
      <c r="I20" s="3">
        <f t="shared" si="3"/>
        <v>-2.8545274863058343</v>
      </c>
      <c r="J20" s="3">
        <f t="shared" si="4"/>
        <v>2.7534222268426745</v>
      </c>
    </row>
    <row r="21" spans="1:10" ht="16" x14ac:dyDescent="0.35">
      <c r="A21" s="10" t="s">
        <v>46</v>
      </c>
      <c r="B21" s="9" t="s">
        <v>8</v>
      </c>
      <c r="C21" s="8">
        <f>(2*C7*(2*C20-PI())*C4^2/(2*C3^2)+(C12-C7)*(C4^2/(2*C3^2)*(2*SIN(C20)-1))+(C7-C14)*(C4^2/(2*C3^2)))*C5*TAN(RADIANS(C8))*C3^3/1000</f>
        <v>4.0442523177398026E-7</v>
      </c>
      <c r="E21" s="1">
        <f t="shared" si="5"/>
        <v>17</v>
      </c>
      <c r="F21" s="3">
        <f t="shared" si="2"/>
        <v>0.29670597283903605</v>
      </c>
      <c r="G21" s="3">
        <f t="shared" si="0"/>
        <v>-2.8172405814652315</v>
      </c>
      <c r="H21" s="3">
        <f t="shared" si="1"/>
        <v>13.701389612638785</v>
      </c>
      <c r="I21" s="3">
        <f t="shared" si="3"/>
        <v>-2.8172405814652315</v>
      </c>
      <c r="J21" s="3">
        <f t="shared" si="4"/>
        <v>2.7402779225277567</v>
      </c>
    </row>
    <row r="22" spans="1:10" ht="16" x14ac:dyDescent="0.35">
      <c r="A22" s="10" t="s">
        <v>38</v>
      </c>
      <c r="B22" s="9" t="s">
        <v>18</v>
      </c>
      <c r="C22" s="8">
        <f>(C15*C5*C3*C4^3*1/3+C5*C4*PI()*C3^2/4*TAN(RADIANS(C6))*C4+(C7*SIN(C20)+(C12-C7)/4*(1/2*(2*C20+SIN(2*C20)-PI()/2))-(C7-C14)/4*(1/2*PI()/2))*C5*TAN(RADIANS(C8))*C3^2*C4^2)/1000</f>
        <v>14.238663789092797</v>
      </c>
      <c r="E22" s="1">
        <f t="shared" si="5"/>
        <v>18</v>
      </c>
      <c r="F22" s="3">
        <f t="shared" si="2"/>
        <v>0.31415926535897931</v>
      </c>
      <c r="G22" s="3">
        <f t="shared" si="0"/>
        <v>-2.7790955178522929</v>
      </c>
      <c r="H22" s="3">
        <f t="shared" si="1"/>
        <v>13.631494515059851</v>
      </c>
      <c r="I22" s="3">
        <f t="shared" si="3"/>
        <v>-2.7790955178522934</v>
      </c>
      <c r="J22" s="3">
        <f t="shared" si="4"/>
        <v>2.72629890301197</v>
      </c>
    </row>
    <row r="23" spans="1:10" ht="16" x14ac:dyDescent="0.35">
      <c r="A23" s="17" t="s">
        <v>39</v>
      </c>
      <c r="B23" s="19" t="s">
        <v>51</v>
      </c>
      <c r="C23" s="20">
        <v>13.147848654430842</v>
      </c>
      <c r="E23" s="1">
        <f t="shared" si="5"/>
        <v>19</v>
      </c>
      <c r="F23" s="3">
        <f t="shared" si="2"/>
        <v>0.33161255787892263</v>
      </c>
      <c r="G23" s="3">
        <f t="shared" si="0"/>
        <v>-2.7401039148229134</v>
      </c>
      <c r="H23" s="3">
        <f t="shared" si="1"/>
        <v>13.557447132200377</v>
      </c>
      <c r="I23" s="3">
        <f t="shared" si="3"/>
        <v>-2.7401039148229134</v>
      </c>
      <c r="J23" s="3">
        <f t="shared" si="4"/>
        <v>2.7114894264400755</v>
      </c>
    </row>
    <row r="24" spans="1:10" ht="14.5" x14ac:dyDescent="0.35">
      <c r="A24" s="18"/>
      <c r="B24" s="9" t="s">
        <v>47</v>
      </c>
      <c r="C24" s="8">
        <f>RADIANS(C23)</f>
        <v>0.22947324857372434</v>
      </c>
      <c r="E24" s="1">
        <f t="shared" si="5"/>
        <v>20</v>
      </c>
      <c r="F24" s="3">
        <f t="shared" si="2"/>
        <v>0.3490658503988659</v>
      </c>
      <c r="G24" s="3">
        <f t="shared" si="0"/>
        <v>-2.7002776495970964</v>
      </c>
      <c r="H24" s="3">
        <f t="shared" si="1"/>
        <v>13.479270019610494</v>
      </c>
      <c r="I24" s="3">
        <f t="shared" si="3"/>
        <v>-2.7002776495970964</v>
      </c>
      <c r="J24" s="3">
        <f t="shared" si="4"/>
        <v>2.6958540039220988</v>
      </c>
    </row>
    <row r="25" spans="1:10" ht="16" x14ac:dyDescent="0.35">
      <c r="A25" s="17" t="s">
        <v>40</v>
      </c>
      <c r="B25" s="9" t="s">
        <v>20</v>
      </c>
      <c r="C25" s="8">
        <f>DEGREES(C26)</f>
        <v>159.50855563065892</v>
      </c>
      <c r="E25" s="1">
        <f t="shared" si="5"/>
        <v>21</v>
      </c>
      <c r="F25" s="3">
        <f t="shared" si="2"/>
        <v>0.36651914291880922</v>
      </c>
      <c r="G25" s="3">
        <f t="shared" si="0"/>
        <v>-2.6596288536410349</v>
      </c>
      <c r="H25" s="3">
        <f t="shared" si="1"/>
        <v>13.396986990796018</v>
      </c>
      <c r="I25" s="3">
        <f t="shared" si="3"/>
        <v>-2.6596288536410349</v>
      </c>
      <c r="J25" s="3">
        <f t="shared" si="4"/>
        <v>2.6793973981592036</v>
      </c>
    </row>
    <row r="26" spans="1:10" ht="16" x14ac:dyDescent="0.35">
      <c r="A26" s="18"/>
      <c r="B26" s="9" t="s">
        <v>21</v>
      </c>
      <c r="C26" s="8">
        <f>_xlfn.ACOT(-C22/C18*TAN(C24))</f>
        <v>2.7839494808555383</v>
      </c>
      <c r="E26" s="1">
        <f t="shared" si="5"/>
        <v>22</v>
      </c>
      <c r="F26" s="3">
        <f t="shared" si="2"/>
        <v>0.38397243543875248</v>
      </c>
      <c r="G26" s="3">
        <f t="shared" si="0"/>
        <v>-2.6181699089717512</v>
      </c>
      <c r="H26" s="3">
        <f t="shared" si="1"/>
        <v>13.310623109964618</v>
      </c>
      <c r="I26" s="3">
        <f t="shared" si="3"/>
        <v>-2.6181699089717512</v>
      </c>
      <c r="J26" s="3">
        <f t="shared" si="4"/>
        <v>2.6621246219929238</v>
      </c>
    </row>
    <row r="27" spans="1:10" x14ac:dyDescent="0.35">
      <c r="A27" s="14" t="s">
        <v>48</v>
      </c>
      <c r="B27" s="9" t="s">
        <v>41</v>
      </c>
      <c r="C27" s="8">
        <f>C18*SIN(C26)-C22*COS(C26)*TAN(C24)-C17</f>
        <v>-4.7319747711105364E-4</v>
      </c>
      <c r="E27" s="1">
        <f t="shared" si="5"/>
        <v>23</v>
      </c>
      <c r="F27" s="3">
        <f t="shared" si="2"/>
        <v>0.4014257279586958</v>
      </c>
      <c r="G27" s="3">
        <f t="shared" si="0"/>
        <v>-2.5759134443854133</v>
      </c>
      <c r="H27" s="3">
        <f t="shared" si="1"/>
        <v>13.220204684391021</v>
      </c>
      <c r="I27" s="3">
        <f t="shared" si="3"/>
        <v>-2.5759134443854133</v>
      </c>
      <c r="J27" s="3">
        <f t="shared" si="4"/>
        <v>2.6440409368782043</v>
      </c>
    </row>
    <row r="28" spans="1:10" x14ac:dyDescent="0.35">
      <c r="A28" s="10" t="s">
        <v>42</v>
      </c>
      <c r="B28" s="9" t="s">
        <v>9</v>
      </c>
      <c r="C28" s="8">
        <f>C22/COS(C24)</f>
        <v>14.621958735642576</v>
      </c>
      <c r="E28" s="1">
        <f t="shared" si="5"/>
        <v>24</v>
      </c>
      <c r="F28" s="3">
        <f t="shared" si="2"/>
        <v>0.41887902047863912</v>
      </c>
      <c r="G28" s="3">
        <f t="shared" si="0"/>
        <v>-2.5328723316104811</v>
      </c>
      <c r="H28" s="3">
        <f t="shared" si="1"/>
        <v>13.12575925640356</v>
      </c>
      <c r="I28" s="3">
        <f t="shared" si="3"/>
        <v>-2.5328723316104811</v>
      </c>
      <c r="J28" s="3">
        <f t="shared" si="4"/>
        <v>2.6251518512807119</v>
      </c>
    </row>
    <row r="29" spans="1:10" x14ac:dyDescent="0.35">
      <c r="A29" s="10" t="s">
        <v>43</v>
      </c>
      <c r="B29" s="9" t="s">
        <v>10</v>
      </c>
      <c r="C29" s="8">
        <f>C18/COS(C24)</f>
        <v>1.2764260265697656</v>
      </c>
      <c r="E29" s="1">
        <f t="shared" si="5"/>
        <v>25</v>
      </c>
      <c r="F29" s="3">
        <f t="shared" si="2"/>
        <v>0.43633231299858238</v>
      </c>
      <c r="G29" s="3">
        <f t="shared" si="0"/>
        <v>-2.489059681386856</v>
      </c>
      <c r="H29" s="3">
        <f t="shared" si="1"/>
        <v>13.027315594994512</v>
      </c>
      <c r="I29" s="3">
        <f t="shared" si="3"/>
        <v>-2.489059681386856</v>
      </c>
      <c r="J29" s="3">
        <f t="shared" si="4"/>
        <v>2.6054631189989026</v>
      </c>
    </row>
    <row r="30" spans="1:10" x14ac:dyDescent="0.35">
      <c r="E30" s="1">
        <f t="shared" si="5"/>
        <v>26</v>
      </c>
      <c r="F30" s="3">
        <f t="shared" si="2"/>
        <v>0.4537856055185257</v>
      </c>
      <c r="G30" s="3">
        <f t="shared" si="0"/>
        <v>-2.4444888394722177</v>
      </c>
      <c r="H30" s="3">
        <f t="shared" si="1"/>
        <v>12.924903687056792</v>
      </c>
      <c r="I30" s="3">
        <f t="shared" si="3"/>
        <v>-2.4444888394722177</v>
      </c>
      <c r="J30" s="3">
        <f t="shared" si="4"/>
        <v>2.5849807374113585</v>
      </c>
    </row>
    <row r="31" spans="1:10" x14ac:dyDescent="0.35">
      <c r="E31" s="1">
        <f t="shared" si="5"/>
        <v>27</v>
      </c>
      <c r="F31" s="3">
        <f t="shared" si="2"/>
        <v>0.47123889803846897</v>
      </c>
      <c r="G31" s="3">
        <f t="shared" si="0"/>
        <v>-2.3991733825767807</v>
      </c>
      <c r="H31" s="3">
        <f t="shared" si="1"/>
        <v>12.818554728249639</v>
      </c>
      <c r="I31" s="3">
        <f t="shared" si="3"/>
        <v>-2.3991733825767807</v>
      </c>
      <c r="J31" s="3">
        <f t="shared" si="4"/>
        <v>2.5637109456499276</v>
      </c>
    </row>
    <row r="32" spans="1:10" x14ac:dyDescent="0.35">
      <c r="E32" s="1">
        <f t="shared" si="5"/>
        <v>28</v>
      </c>
      <c r="F32" s="3">
        <f t="shared" si="2"/>
        <v>0.48869219055841229</v>
      </c>
      <c r="G32" s="3">
        <f t="shared" si="0"/>
        <v>-2.3531271142276964</v>
      </c>
      <c r="H32" s="3">
        <f t="shared" si="1"/>
        <v>12.708301113496134</v>
      </c>
      <c r="I32" s="3">
        <f t="shared" si="3"/>
        <v>-2.3531271142276964</v>
      </c>
      <c r="J32" s="3">
        <f t="shared" si="4"/>
        <v>2.5416602226992269</v>
      </c>
    </row>
    <row r="33" spans="5:10" x14ac:dyDescent="0.35">
      <c r="E33" s="1">
        <f t="shared" si="5"/>
        <v>29</v>
      </c>
      <c r="F33" s="3">
        <f t="shared" si="2"/>
        <v>0.50614548307835561</v>
      </c>
      <c r="G33" s="3">
        <f t="shared" si="0"/>
        <v>-2.3063640605643645</v>
      </c>
      <c r="H33" s="3">
        <f t="shared" si="1"/>
        <v>12.59417642711538</v>
      </c>
      <c r="I33" s="3">
        <f t="shared" si="3"/>
        <v>-2.3063640605643645</v>
      </c>
      <c r="J33" s="3">
        <f t="shared" si="4"/>
        <v>2.518835285423076</v>
      </c>
    </row>
    <row r="34" spans="5:10" x14ac:dyDescent="0.35">
      <c r="E34" s="1">
        <f t="shared" si="5"/>
        <v>30</v>
      </c>
      <c r="F34" s="3">
        <f t="shared" si="2"/>
        <v>0.52359877559829882</v>
      </c>
      <c r="G34" s="3">
        <f t="shared" si="0"/>
        <v>-2.2588984660659346</v>
      </c>
      <c r="H34" s="3">
        <f t="shared" si="1"/>
        <v>12.476215432592403</v>
      </c>
      <c r="I34" s="3">
        <f t="shared" si="3"/>
        <v>-2.2588984660659346</v>
      </c>
      <c r="J34" s="3">
        <f t="shared" si="4"/>
        <v>2.4952430865184803</v>
      </c>
    </row>
    <row r="35" spans="5:10" x14ac:dyDescent="0.35">
      <c r="E35" s="1">
        <f t="shared" si="5"/>
        <v>31</v>
      </c>
      <c r="F35" s="3">
        <f t="shared" si="2"/>
        <v>0.54105206811824214</v>
      </c>
      <c r="G35" s="3">
        <f t="shared" si="0"/>
        <v>-2.2107447892123</v>
      </c>
      <c r="H35" s="3">
        <f t="shared" si="1"/>
        <v>12.354454061988843</v>
      </c>
      <c r="I35" s="3">
        <f t="shared" si="3"/>
        <v>-2.2107447892123</v>
      </c>
      <c r="J35" s="3">
        <f t="shared" si="4"/>
        <v>2.4708908123977684</v>
      </c>
    </row>
    <row r="36" spans="5:10" x14ac:dyDescent="0.35">
      <c r="E36" s="1">
        <f t="shared" si="5"/>
        <v>32</v>
      </c>
      <c r="F36" s="3">
        <f t="shared" si="2"/>
        <v>0.55850536063818546</v>
      </c>
      <c r="G36" s="3">
        <f t="shared" si="0"/>
        <v>-2.1619176980799053</v>
      </c>
      <c r="H36" s="3">
        <f t="shared" si="1"/>
        <v>12.228929404997714</v>
      </c>
      <c r="I36" s="3">
        <f t="shared" si="3"/>
        <v>-2.1619176980799053</v>
      </c>
      <c r="J36" s="3">
        <f t="shared" si="4"/>
        <v>2.445785880999543</v>
      </c>
    </row>
    <row r="37" spans="5:10" x14ac:dyDescent="0.35">
      <c r="E37" s="1">
        <f t="shared" si="5"/>
        <v>33</v>
      </c>
      <c r="F37" s="3">
        <f t="shared" si="2"/>
        <v>0.57595865315812877</v>
      </c>
      <c r="G37" s="3">
        <f t="shared" si="0"/>
        <v>-2.1124320658737088</v>
      </c>
      <c r="H37" s="3">
        <f t="shared" si="1"/>
        <v>12.099679697645529</v>
      </c>
      <c r="I37" s="3">
        <f t="shared" si="3"/>
        <v>-2.1124320658737088</v>
      </c>
      <c r="J37" s="3">
        <f t="shared" si="4"/>
        <v>2.4199359395291058</v>
      </c>
    </row>
    <row r="38" spans="5:10" x14ac:dyDescent="0.35">
      <c r="E38" s="1">
        <f t="shared" si="5"/>
        <v>34</v>
      </c>
      <c r="F38" s="3">
        <f t="shared" si="2"/>
        <v>0.59341194567807209</v>
      </c>
      <c r="G38" s="3">
        <f t="shared" si="0"/>
        <v>-2.0623029663966577</v>
      </c>
      <c r="H38" s="3">
        <f t="shared" si="1"/>
        <v>11.966744310645209</v>
      </c>
      <c r="I38" s="3">
        <f t="shared" si="3"/>
        <v>-2.0623029663966577</v>
      </c>
      <c r="J38" s="3">
        <f t="shared" si="4"/>
        <v>2.393348862129042</v>
      </c>
    </row>
    <row r="39" spans="5:10" x14ac:dyDescent="0.35">
      <c r="E39" s="1">
        <f t="shared" si="5"/>
        <v>35</v>
      </c>
      <c r="F39" s="3">
        <f t="shared" si="2"/>
        <v>0.6108652381980153</v>
      </c>
      <c r="G39" s="3">
        <f t="shared" si="0"/>
        <v>-2.0115456694580658</v>
      </c>
      <c r="H39" s="3">
        <f t="shared" si="1"/>
        <v>11.830163737403414</v>
      </c>
      <c r="I39" s="3">
        <f t="shared" si="3"/>
        <v>-2.0115456694580658</v>
      </c>
      <c r="J39" s="3">
        <f t="shared" si="4"/>
        <v>2.3660327474806828</v>
      </c>
    </row>
    <row r="40" spans="5:10" x14ac:dyDescent="0.35">
      <c r="E40" s="1">
        <f t="shared" si="5"/>
        <v>36</v>
      </c>
      <c r="F40" s="3">
        <f t="shared" si="2"/>
        <v>0.62831853071795862</v>
      </c>
      <c r="G40" s="3">
        <f t="shared" si="0"/>
        <v>-1.9601756362222753</v>
      </c>
      <c r="H40" s="3">
        <f t="shared" si="1"/>
        <v>11.689979581685835</v>
      </c>
      <c r="I40" s="3">
        <f t="shared" si="3"/>
        <v>-1.9601756362222753</v>
      </c>
      <c r="J40" s="3">
        <f t="shared" si="4"/>
        <v>2.3379959163371669</v>
      </c>
    </row>
    <row r="41" spans="5:10" x14ac:dyDescent="0.35">
      <c r="E41" s="1">
        <f t="shared" si="5"/>
        <v>37</v>
      </c>
      <c r="F41" s="3">
        <f t="shared" si="2"/>
        <v>0.64577182323790194</v>
      </c>
      <c r="G41" s="3">
        <f t="shared" si="0"/>
        <v>-1.9082085144990444</v>
      </c>
      <c r="H41" s="3">
        <f t="shared" si="1"/>
        <v>11.5462345449443</v>
      </c>
      <c r="I41" s="3">
        <f t="shared" si="3"/>
        <v>-1.9082085144990444</v>
      </c>
      <c r="J41" s="3">
        <f t="shared" si="4"/>
        <v>2.3092469089888601</v>
      </c>
    </row>
    <row r="42" spans="5:10" x14ac:dyDescent="0.35">
      <c r="E42" s="1">
        <f t="shared" si="5"/>
        <v>38</v>
      </c>
      <c r="F42" s="3">
        <f t="shared" si="2"/>
        <v>0.66322511575784526</v>
      </c>
      <c r="G42" s="3">
        <f t="shared" si="0"/>
        <v>-1.8556601339770658</v>
      </c>
      <c r="H42" s="3">
        <f t="shared" si="1"/>
        <v>11.398972413309487</v>
      </c>
      <c r="I42" s="3">
        <f t="shared" si="3"/>
        <v>-1.8556601339770658</v>
      </c>
      <c r="J42" s="3">
        <f t="shared" si="4"/>
        <v>2.279794482661897</v>
      </c>
    </row>
    <row r="43" spans="5:10" x14ac:dyDescent="0.35">
      <c r="E43" s="1">
        <f t="shared" si="5"/>
        <v>39</v>
      </c>
      <c r="F43" s="3">
        <f t="shared" si="2"/>
        <v>0.68067840827778847</v>
      </c>
      <c r="G43" s="3">
        <f t="shared" si="0"/>
        <v>-1.8025465014020949</v>
      </c>
      <c r="H43" s="3">
        <f t="shared" si="1"/>
        <v>11.248238044253256</v>
      </c>
      <c r="I43" s="3">
        <f t="shared" si="3"/>
        <v>-1.8025465014020949</v>
      </c>
      <c r="J43" s="3">
        <f t="shared" si="4"/>
        <v>2.2496476088506512</v>
      </c>
    </row>
    <row r="44" spans="5:10" x14ac:dyDescent="0.35">
      <c r="E44" s="1">
        <f t="shared" si="5"/>
        <v>40</v>
      </c>
      <c r="F44" s="3">
        <f t="shared" si="2"/>
        <v>0.69813170079773179</v>
      </c>
      <c r="G44" s="3">
        <f t="shared" si="0"/>
        <v>-1.7488837957011367</v>
      </c>
      <c r="H44" s="3">
        <f t="shared" si="1"/>
        <v>11.094077352924618</v>
      </c>
      <c r="I44" s="3">
        <f t="shared" si="3"/>
        <v>-1.7488837957011367</v>
      </c>
      <c r="J44" s="3">
        <f t="shared" si="4"/>
        <v>2.2188154705849237</v>
      </c>
    </row>
    <row r="45" spans="5:10" x14ac:dyDescent="0.35">
      <c r="E45" s="1">
        <f t="shared" si="5"/>
        <v>41</v>
      </c>
      <c r="F45" s="3">
        <f t="shared" si="2"/>
        <v>0.71558499331767511</v>
      </c>
      <c r="G45" s="3">
        <f t="shared" si="0"/>
        <v>-1.6946883630541902</v>
      </c>
      <c r="H45" s="3">
        <f t="shared" si="1"/>
        <v>10.936537298163538</v>
      </c>
      <c r="I45" s="3">
        <f t="shared" si="3"/>
        <v>-1.6946883630541902</v>
      </c>
      <c r="J45" s="3">
        <f t="shared" si="4"/>
        <v>2.1873074596327076</v>
      </c>
    </row>
    <row r="46" spans="5:10" x14ac:dyDescent="0.35">
      <c r="E46" s="1">
        <f t="shared" si="5"/>
        <v>42</v>
      </c>
      <c r="F46" s="3">
        <f t="shared" si="2"/>
        <v>0.73303828583761843</v>
      </c>
      <c r="G46" s="3">
        <f t="shared" si="0"/>
        <v>-1.6399767119150428</v>
      </c>
      <c r="H46" s="3">
        <f t="shared" si="1"/>
        <v>10.775665868196821</v>
      </c>
      <c r="I46" s="3">
        <f t="shared" si="3"/>
        <v>-1.6399767119150428</v>
      </c>
      <c r="J46" s="3">
        <f t="shared" si="4"/>
        <v>2.1551331736393644</v>
      </c>
    </row>
    <row r="47" spans="5:10" x14ac:dyDescent="0.35">
      <c r="E47" s="1">
        <f t="shared" si="5"/>
        <v>43</v>
      </c>
      <c r="F47" s="3">
        <f t="shared" si="2"/>
        <v>0.75049157835756175</v>
      </c>
      <c r="G47" s="3">
        <f t="shared" si="0"/>
        <v>-1.5847655079826342</v>
      </c>
      <c r="H47" s="3">
        <f t="shared" si="1"/>
        <v>10.611512066020431</v>
      </c>
      <c r="I47" s="3">
        <f t="shared" si="3"/>
        <v>-1.5847655079826342</v>
      </c>
      <c r="J47" s="3">
        <f t="shared" si="4"/>
        <v>2.1223024132040864</v>
      </c>
    </row>
    <row r="48" spans="5:10" x14ac:dyDescent="0.35">
      <c r="E48" s="1">
        <f t="shared" si="5"/>
        <v>44</v>
      </c>
      <c r="F48" s="3">
        <f t="shared" si="2"/>
        <v>0.76794487087750496</v>
      </c>
      <c r="G48" s="3">
        <f t="shared" si="0"/>
        <v>-1.5290715691245267</v>
      </c>
      <c r="H48" s="3">
        <f t="shared" si="1"/>
        <v>10.444125894472709</v>
      </c>
      <c r="I48" s="3">
        <f t="shared" si="3"/>
        <v>-1.5290715691245267</v>
      </c>
      <c r="J48" s="3">
        <f t="shared" si="4"/>
        <v>2.0888251788945418</v>
      </c>
    </row>
    <row r="49" spans="5:10" x14ac:dyDescent="0.35">
      <c r="E49" s="1">
        <f t="shared" si="5"/>
        <v>45</v>
      </c>
      <c r="F49" s="3">
        <f t="shared" si="2"/>
        <v>0.78539816339744828</v>
      </c>
      <c r="G49" s="3">
        <f t="shared" si="0"/>
        <v>-1.4729118602540148</v>
      </c>
      <c r="H49" s="3">
        <f t="shared" si="1"/>
        <v>10.273558341003008</v>
      </c>
      <c r="I49" s="3">
        <f t="shared" si="3"/>
        <v>-1.4729118602540148</v>
      </c>
      <c r="J49" s="3">
        <f t="shared" si="4"/>
        <v>2.0547116682006017</v>
      </c>
    </row>
    <row r="50" spans="5:10" x14ac:dyDescent="0.35">
      <c r="E50" s="1">
        <f t="shared" si="5"/>
        <v>46</v>
      </c>
      <c r="F50" s="3">
        <f t="shared" si="2"/>
        <v>0.8028514559173916</v>
      </c>
      <c r="G50" s="3">
        <f t="shared" si="0"/>
        <v>-1.4163034881624512</v>
      </c>
      <c r="H50" s="3">
        <f t="shared" si="1"/>
        <v>10.099861362140444</v>
      </c>
      <c r="I50" s="3">
        <f t="shared" si="3"/>
        <v>-1.4163034881624512</v>
      </c>
      <c r="J50" s="3">
        <f t="shared" si="4"/>
        <v>2.0199722724280886</v>
      </c>
    </row>
    <row r="51" spans="5:10" x14ac:dyDescent="0.35">
      <c r="E51" s="1">
        <f t="shared" si="5"/>
        <v>47</v>
      </c>
      <c r="F51" s="3">
        <f t="shared" si="2"/>
        <v>0.82030474843733492</v>
      </c>
      <c r="G51" s="3">
        <f t="shared" si="0"/>
        <v>-1.359263696308354</v>
      </c>
      <c r="H51" s="3">
        <f t="shared" si="1"/>
        <v>9.9230878676674195</v>
      </c>
      <c r="I51" s="3">
        <f t="shared" si="3"/>
        <v>-1.359263696308354</v>
      </c>
      <c r="J51" s="3">
        <f t="shared" si="4"/>
        <v>1.9846175735334841</v>
      </c>
    </row>
    <row r="52" spans="5:10" x14ac:dyDescent="0.35">
      <c r="E52" s="1">
        <f t="shared" si="5"/>
        <v>48</v>
      </c>
      <c r="F52" s="3">
        <f t="shared" si="2"/>
        <v>0.83775804095727824</v>
      </c>
      <c r="G52" s="3">
        <f t="shared" si="0"/>
        <v>-1.3018098595648784</v>
      </c>
      <c r="H52" s="3">
        <f t="shared" si="1"/>
        <v>9.7432917045027931</v>
      </c>
      <c r="I52" s="3">
        <f t="shared" si="3"/>
        <v>-1.3018098595648784</v>
      </c>
      <c r="J52" s="3">
        <f t="shared" si="4"/>
        <v>1.9486583409005587</v>
      </c>
    </row>
    <row r="53" spans="5:10" x14ac:dyDescent="0.35">
      <c r="E53" s="1">
        <f t="shared" si="5"/>
        <v>49</v>
      </c>
      <c r="F53" s="3">
        <f t="shared" si="2"/>
        <v>0.85521133347722145</v>
      </c>
      <c r="G53" s="3">
        <f t="shared" si="0"/>
        <v>-1.2439594789272634</v>
      </c>
      <c r="H53" s="3">
        <f t="shared" si="1"/>
        <v>9.5605276402995862</v>
      </c>
      <c r="I53" s="3">
        <f t="shared" si="3"/>
        <v>-1.2439594789272634</v>
      </c>
      <c r="J53" s="3">
        <f t="shared" si="4"/>
        <v>1.9121055280599173</v>
      </c>
    </row>
    <row r="54" spans="5:10" x14ac:dyDescent="0.35">
      <c r="E54" s="1">
        <f t="shared" si="5"/>
        <v>50</v>
      </c>
      <c r="F54" s="3">
        <f t="shared" si="2"/>
        <v>0.87266462599716477</v>
      </c>
      <c r="G54" s="3">
        <f t="shared" si="0"/>
        <v>-1.1857301761818617</v>
      </c>
      <c r="H54" s="3">
        <f t="shared" si="1"/>
        <v>9.3748513467622363</v>
      </c>
      <c r="I54" s="3">
        <f t="shared" si="3"/>
        <v>-1.1857301761818617</v>
      </c>
      <c r="J54" s="3">
        <f t="shared" si="4"/>
        <v>1.8749702693524473</v>
      </c>
    </row>
    <row r="55" spans="5:10" x14ac:dyDescent="0.35">
      <c r="E55" s="1">
        <f t="shared" si="5"/>
        <v>51</v>
      </c>
      <c r="F55" s="3">
        <f t="shared" si="2"/>
        <v>0.89011791851710809</v>
      </c>
      <c r="G55" s="3">
        <f t="shared" si="0"/>
        <v>-1.1271396885383687</v>
      </c>
      <c r="H55" s="3">
        <f t="shared" si="1"/>
        <v>9.1863193826884366</v>
      </c>
      <c r="I55" s="3">
        <f t="shared" si="3"/>
        <v>-1.1271396885383687</v>
      </c>
      <c r="J55" s="3">
        <f t="shared" si="4"/>
        <v>1.8372638765376872</v>
      </c>
    </row>
    <row r="56" spans="5:10" x14ac:dyDescent="0.35">
      <c r="E56" s="1">
        <f t="shared" si="5"/>
        <v>52</v>
      </c>
      <c r="F56" s="3">
        <f t="shared" si="2"/>
        <v>0.90757121103705141</v>
      </c>
      <c r="G56" s="3">
        <f t="shared" si="0"/>
        <v>-1.0682058632268998</v>
      </c>
      <c r="H56" s="3">
        <f t="shared" si="1"/>
        <v>8.9949891767407966</v>
      </c>
      <c r="I56" s="3">
        <f t="shared" si="3"/>
        <v>-1.0682058632268998</v>
      </c>
      <c r="J56" s="3">
        <f t="shared" si="4"/>
        <v>1.7989978353481595</v>
      </c>
    </row>
    <row r="57" spans="5:10" x14ac:dyDescent="0.35">
      <c r="E57" s="1">
        <f t="shared" si="5"/>
        <v>53</v>
      </c>
      <c r="F57" s="3">
        <f t="shared" si="2"/>
        <v>0.92502450355699462</v>
      </c>
      <c r="G57" s="3">
        <f t="shared" si="0"/>
        <v>-1.0089466520615491</v>
      </c>
      <c r="H57" s="3">
        <f t="shared" si="1"/>
        <v>8.8009190099535033</v>
      </c>
      <c r="I57" s="3">
        <f t="shared" si="3"/>
        <v>-1.0089466520615491</v>
      </c>
      <c r="J57" s="3">
        <f t="shared" si="4"/>
        <v>1.7601838019907006</v>
      </c>
    </row>
    <row r="58" spans="5:10" x14ac:dyDescent="0.35">
      <c r="E58" s="1">
        <f t="shared" si="5"/>
        <v>54</v>
      </c>
      <c r="F58" s="3">
        <f t="shared" si="2"/>
        <v>0.94247779607693793</v>
      </c>
      <c r="G58" s="3">
        <f t="shared" si="0"/>
        <v>-0.94938010597209455</v>
      </c>
      <c r="H58" s="3">
        <f t="shared" si="1"/>
        <v>8.6041679979793617</v>
      </c>
      <c r="I58" s="3">
        <f t="shared" si="3"/>
        <v>-0.94938010597209455</v>
      </c>
      <c r="J58" s="3">
        <f t="shared" si="4"/>
        <v>1.7208335995958726</v>
      </c>
    </row>
    <row r="59" spans="5:10" x14ac:dyDescent="0.35">
      <c r="E59" s="1">
        <f t="shared" si="5"/>
        <v>55</v>
      </c>
      <c r="F59" s="3">
        <f t="shared" si="2"/>
        <v>0.95993108859688125</v>
      </c>
      <c r="G59" s="3">
        <f t="shared" si="0"/>
        <v>-0.8895243695055095</v>
      </c>
      <c r="H59" s="3">
        <f t="shared" si="1"/>
        <v>8.4047960730825917</v>
      </c>
      <c r="I59" s="3">
        <f t="shared" si="3"/>
        <v>-0.8895243695055095</v>
      </c>
      <c r="J59" s="3">
        <f t="shared" si="4"/>
        <v>1.6809592146165184</v>
      </c>
    </row>
    <row r="60" spans="5:10" x14ac:dyDescent="0.35">
      <c r="E60" s="1">
        <f t="shared" si="5"/>
        <v>56</v>
      </c>
      <c r="F60" s="3">
        <f t="shared" si="2"/>
        <v>0.97738438111682457</v>
      </c>
      <c r="G60" s="3">
        <f t="shared" si="0"/>
        <v>-0.82939767529895692</v>
      </c>
      <c r="H60" s="3">
        <f t="shared" si="1"/>
        <v>8.2028639658828677</v>
      </c>
      <c r="I60" s="3">
        <f t="shared" si="3"/>
        <v>-0.82939767529895692</v>
      </c>
      <c r="J60" s="3">
        <f t="shared" si="4"/>
        <v>1.6405727931765735</v>
      </c>
    </row>
    <row r="61" spans="5:10" x14ac:dyDescent="0.35">
      <c r="E61" s="1">
        <f t="shared" si="5"/>
        <v>57</v>
      </c>
      <c r="F61" s="3">
        <f t="shared" si="2"/>
        <v>0.99483767363676789</v>
      </c>
      <c r="G61" s="3">
        <f t="shared" si="0"/>
        <v>-0.7690183385259528</v>
      </c>
      <c r="H61" s="3">
        <f t="shared" si="1"/>
        <v>7.9984331868562109</v>
      </c>
      <c r="I61" s="3">
        <f t="shared" si="3"/>
        <v>-0.7690183385259528</v>
      </c>
      <c r="J61" s="3">
        <f t="shared" si="4"/>
        <v>1.5996866373712422</v>
      </c>
    </row>
    <row r="62" spans="5:10" x14ac:dyDescent="0.35">
      <c r="E62" s="1">
        <f t="shared" si="5"/>
        <v>58</v>
      </c>
      <c r="F62" s="3">
        <f t="shared" si="2"/>
        <v>1.0122909661567112</v>
      </c>
      <c r="G62" s="3">
        <f t="shared" si="0"/>
        <v>-0.70840475131738545</v>
      </c>
      <c r="H62" s="3">
        <f t="shared" si="1"/>
        <v>7.7915660075982753</v>
      </c>
      <c r="I62" s="3">
        <f t="shared" si="3"/>
        <v>-0.70840475131738545</v>
      </c>
      <c r="J62" s="3">
        <f t="shared" si="4"/>
        <v>1.558313201519655</v>
      </c>
    </row>
    <row r="63" spans="5:10" x14ac:dyDescent="0.35">
      <c r="E63" s="1">
        <f t="shared" si="5"/>
        <v>59</v>
      </c>
      <c r="F63" s="3">
        <f t="shared" si="2"/>
        <v>1.0297442586766545</v>
      </c>
      <c r="G63" s="3">
        <f t="shared" si="0"/>
        <v>-0.64757537715909597</v>
      </c>
      <c r="H63" s="3">
        <f t="shared" si="1"/>
        <v>7.5823254418558301</v>
      </c>
      <c r="I63" s="3">
        <f t="shared" si="3"/>
        <v>-0.64757537715909597</v>
      </c>
      <c r="J63" s="3">
        <f t="shared" si="4"/>
        <v>1.5164650883711659</v>
      </c>
    </row>
    <row r="64" spans="5:10" x14ac:dyDescent="0.35">
      <c r="E64" s="1">
        <f t="shared" si="5"/>
        <v>60</v>
      </c>
      <c r="F64" s="3">
        <f t="shared" si="2"/>
        <v>1.0471975511965976</v>
      </c>
      <c r="G64" s="3">
        <f t="shared" si="0"/>
        <v>-0.58654874526772138</v>
      </c>
      <c r="H64" s="3">
        <f t="shared" si="1"/>
        <v>7.3707752263321629</v>
      </c>
      <c r="I64" s="3">
        <f t="shared" si="3"/>
        <v>-0.58654874526772138</v>
      </c>
      <c r="J64" s="3">
        <f t="shared" si="4"/>
        <v>1.4741550452664325</v>
      </c>
    </row>
    <row r="65" spans="5:10" x14ac:dyDescent="0.35">
      <c r="E65" s="1">
        <f t="shared" si="5"/>
        <v>61</v>
      </c>
      <c r="F65" s="3">
        <f t="shared" si="2"/>
        <v>1.064650843716541</v>
      </c>
      <c r="G65" s="3">
        <f t="shared" si="0"/>
        <v>-0.52534344494651175</v>
      </c>
      <c r="H65" s="3">
        <f t="shared" si="1"/>
        <v>7.1569798012722492</v>
      </c>
      <c r="I65" s="3">
        <f t="shared" si="3"/>
        <v>-0.52534344494651175</v>
      </c>
      <c r="J65" s="3">
        <f t="shared" si="4"/>
        <v>1.4313959602544499</v>
      </c>
    </row>
    <row r="66" spans="5:10" x14ac:dyDescent="0.35">
      <c r="E66" s="1">
        <f t="shared" si="5"/>
        <v>62</v>
      </c>
      <c r="F66" s="3">
        <f t="shared" si="2"/>
        <v>1.0821041362364843</v>
      </c>
      <c r="G66" s="3">
        <f t="shared" si="0"/>
        <v>-0.46397811992285565</v>
      </c>
      <c r="H66" s="3">
        <f t="shared" si="1"/>
        <v>6.9410042908336482</v>
      </c>
      <c r="I66" s="3">
        <f t="shared" si="3"/>
        <v>-0.46397811992285565</v>
      </c>
      <c r="J66" s="3">
        <f t="shared" si="4"/>
        <v>1.3882008581667296</v>
      </c>
    </row>
    <row r="67" spans="5:10" x14ac:dyDescent="0.35">
      <c r="E67" s="1">
        <f t="shared" si="5"/>
        <v>63</v>
      </c>
      <c r="F67" s="3">
        <f t="shared" si="2"/>
        <v>1.0995574287564276</v>
      </c>
      <c r="G67" s="3">
        <f t="shared" si="0"/>
        <v>-0.40247146266921363</v>
      </c>
      <c r="H67" s="3">
        <f t="shared" si="1"/>
        <v>6.7229144832490393</v>
      </c>
      <c r="I67" s="3">
        <f t="shared" si="3"/>
        <v>-0.40247146266921363</v>
      </c>
      <c r="J67" s="3">
        <f t="shared" si="4"/>
        <v>1.3445828966498079</v>
      </c>
    </row>
    <row r="68" spans="5:10" x14ac:dyDescent="0.35">
      <c r="E68" s="1">
        <f t="shared" si="5"/>
        <v>64</v>
      </c>
      <c r="F68" s="3">
        <f t="shared" si="2"/>
        <v>1.1170107212763709</v>
      </c>
      <c r="G68" s="3">
        <f t="shared" ref="G68:G131" si="6">$C$29*SIN(F68)*COS($C$24)-$C$28*COS(F68)*SIN($C$24)</f>
        <v>-0.340842208709214</v>
      </c>
      <c r="H68" s="3">
        <f t="shared" ref="H68:H131" si="7">$C$29*SIN(F68)*SIN($C$24)+$C$28*COS(F68)*COS($C$24)</f>
        <v>6.5027768107865001</v>
      </c>
      <c r="I68" s="3">
        <f t="shared" si="3"/>
        <v>-0.340842208709214</v>
      </c>
      <c r="J68" s="3">
        <f t="shared" si="4"/>
        <v>1.3005553621573001</v>
      </c>
    </row>
    <row r="69" spans="5:10" x14ac:dyDescent="0.35">
      <c r="E69" s="1">
        <f t="shared" si="5"/>
        <v>65</v>
      </c>
      <c r="F69" s="3">
        <f t="shared" ref="F69:F132" si="8">RADIANS(E69)</f>
        <v>1.1344640137963142</v>
      </c>
      <c r="G69" s="3">
        <f t="shared" si="6"/>
        <v>-0.2791091309106295</v>
      </c>
      <c r="H69" s="3">
        <f t="shared" si="7"/>
        <v>6.2806583295135807</v>
      </c>
      <c r="I69" s="3">
        <f t="shared" ref="I69:I132" si="9">G69*1000/($C$5*$C$3^3)</f>
        <v>-0.2791091309106295</v>
      </c>
      <c r="J69" s="3">
        <f t="shared" ref="J69:J132" si="10">H69*1000/($C$5*$C$3^4)</f>
        <v>1.2561316659027162</v>
      </c>
    </row>
    <row r="70" spans="5:10" x14ac:dyDescent="0.35">
      <c r="E70" s="1">
        <f t="shared" ref="E70:E75" si="11">E69+1</f>
        <v>66</v>
      </c>
      <c r="F70" s="3">
        <f t="shared" si="8"/>
        <v>1.1519173063162575</v>
      </c>
      <c r="G70" s="3">
        <f t="shared" si="6"/>
        <v>-0.217291033766978</v>
      </c>
      <c r="H70" s="3">
        <f t="shared" si="7"/>
        <v>6.0566266988713879</v>
      </c>
      <c r="I70" s="3">
        <f t="shared" si="9"/>
        <v>-0.21729103376697798</v>
      </c>
      <c r="J70" s="3">
        <f t="shared" si="10"/>
        <v>1.2113253397742776</v>
      </c>
    </row>
    <row r="71" spans="5:10" x14ac:dyDescent="0.35">
      <c r="E71" s="1">
        <f t="shared" si="11"/>
        <v>67</v>
      </c>
      <c r="F71" s="3">
        <f t="shared" si="8"/>
        <v>1.1693705988362009</v>
      </c>
      <c r="G71" s="3">
        <f t="shared" si="6"/>
        <v>-0.1554067476694958</v>
      </c>
      <c r="H71" s="3">
        <f t="shared" si="7"/>
        <v>5.8307501610648593</v>
      </c>
      <c r="I71" s="3">
        <f t="shared" si="9"/>
        <v>-0.1554067476694958</v>
      </c>
      <c r="J71" s="3">
        <f t="shared" si="10"/>
        <v>1.1661500322129719</v>
      </c>
    </row>
    <row r="72" spans="5:10" x14ac:dyDescent="0.35">
      <c r="E72" s="1">
        <f t="shared" si="11"/>
        <v>68</v>
      </c>
      <c r="F72" s="3">
        <f t="shared" si="8"/>
        <v>1.1868238913561442</v>
      </c>
      <c r="G72" s="3">
        <f t="shared" si="6"/>
        <v>-9.3475123171214536E-2</v>
      </c>
      <c r="H72" s="3">
        <f t="shared" si="7"/>
        <v>5.603097520275524</v>
      </c>
      <c r="I72" s="3">
        <f t="shared" si="9"/>
        <v>-9.3475123171214536E-2</v>
      </c>
      <c r="J72" s="3">
        <f t="shared" si="10"/>
        <v>1.1206195040551048</v>
      </c>
    </row>
    <row r="73" spans="5:10" x14ac:dyDescent="0.35">
      <c r="E73" s="1">
        <f t="shared" si="11"/>
        <v>69</v>
      </c>
      <c r="F73" s="3">
        <f t="shared" si="8"/>
        <v>1.2042771838760873</v>
      </c>
      <c r="G73" s="3">
        <f t="shared" si="6"/>
        <v>-3.1515025244902573E-2</v>
      </c>
      <c r="H73" s="3">
        <f t="shared" si="7"/>
        <v>5.3737381217030915</v>
      </c>
      <c r="I73" s="3">
        <f t="shared" si="9"/>
        <v>-3.1515025244902573E-2</v>
      </c>
      <c r="J73" s="3">
        <f t="shared" si="10"/>
        <v>1.0747476243406182</v>
      </c>
    </row>
    <row r="74" spans="5:10" x14ac:dyDescent="0.35">
      <c r="E74" s="1">
        <f t="shared" si="11"/>
        <v>70</v>
      </c>
      <c r="F74" s="3">
        <f t="shared" si="8"/>
        <v>1.2217304763960306</v>
      </c>
      <c r="G74" s="3">
        <f t="shared" si="6"/>
        <v>3.0454672463392951E-2</v>
      </c>
      <c r="H74" s="3">
        <f t="shared" si="7"/>
        <v>5.1427418304422163</v>
      </c>
      <c r="I74" s="3">
        <f t="shared" si="9"/>
        <v>3.0454672463392955E-2</v>
      </c>
      <c r="J74" s="3">
        <f t="shared" si="10"/>
        <v>1.0285483660884434</v>
      </c>
    </row>
    <row r="75" spans="5:10" x14ac:dyDescent="0.35">
      <c r="E75" s="1">
        <f t="shared" si="11"/>
        <v>71</v>
      </c>
      <c r="F75" s="3">
        <f t="shared" si="8"/>
        <v>1.2391837689159739</v>
      </c>
      <c r="G75" s="3">
        <f t="shared" si="6"/>
        <v>9.2415093383435121E-2</v>
      </c>
      <c r="H75" s="3">
        <f t="shared" si="7"/>
        <v>4.9101790102009293</v>
      </c>
      <c r="I75" s="3">
        <f t="shared" si="9"/>
        <v>9.2415093383435121E-2</v>
      </c>
      <c r="J75" s="3">
        <f t="shared" si="10"/>
        <v>0.98203580204018581</v>
      </c>
    </row>
    <row r="76" spans="5:10" x14ac:dyDescent="0.35">
      <c r="E76" s="1">
        <f>E75+1</f>
        <v>72</v>
      </c>
      <c r="F76" s="3">
        <f t="shared" si="8"/>
        <v>1.2566370614359172</v>
      </c>
      <c r="G76" s="3">
        <f t="shared" si="6"/>
        <v>0.1543473637707875</v>
      </c>
      <c r="H76" s="3">
        <f t="shared" si="7"/>
        <v>4.6761205018671621</v>
      </c>
      <c r="I76" s="3">
        <f t="shared" si="9"/>
        <v>0.1543473637707875</v>
      </c>
      <c r="J76" s="3">
        <f t="shared" si="10"/>
        <v>0.93522410037343229</v>
      </c>
    </row>
    <row r="77" spans="5:10" x14ac:dyDescent="0.35">
      <c r="E77" s="1">
        <f t="shared" ref="E77:E115" si="12">E76+1</f>
        <v>73</v>
      </c>
      <c r="F77" s="3">
        <f t="shared" si="8"/>
        <v>1.2740903539558606</v>
      </c>
      <c r="G77" s="3">
        <f t="shared" si="6"/>
        <v>0.21623261845593866</v>
      </c>
      <c r="H77" s="3">
        <f t="shared" si="7"/>
        <v>4.4406376019299305</v>
      </c>
      <c r="I77" s="3">
        <f t="shared" si="9"/>
        <v>0.21623261845593869</v>
      </c>
      <c r="J77" s="3">
        <f t="shared" si="10"/>
        <v>0.88812752038598608</v>
      </c>
    </row>
    <row r="78" spans="5:10" x14ac:dyDescent="0.35">
      <c r="E78" s="1">
        <f t="shared" si="12"/>
        <v>74</v>
      </c>
      <c r="F78" s="3">
        <f t="shared" si="8"/>
        <v>1.2915436464758039</v>
      </c>
      <c r="G78" s="3">
        <f t="shared" si="6"/>
        <v>0.27805200659081653</v>
      </c>
      <c r="H78" s="3">
        <f t="shared" si="7"/>
        <v>4.2038020407617278</v>
      </c>
      <c r="I78" s="3">
        <f t="shared" si="9"/>
        <v>0.27805200659081653</v>
      </c>
      <c r="J78" s="3">
        <f t="shared" si="10"/>
        <v>0.84076040815234554</v>
      </c>
    </row>
    <row r="79" spans="5:10" x14ac:dyDescent="0.35">
      <c r="E79" s="1">
        <f t="shared" si="12"/>
        <v>75</v>
      </c>
      <c r="F79" s="3">
        <f t="shared" si="8"/>
        <v>1.3089969389957472</v>
      </c>
      <c r="G79" s="3">
        <f t="shared" si="6"/>
        <v>0.3397866973909357</v>
      </c>
      <c r="H79" s="3">
        <f t="shared" si="7"/>
        <v>3.9656859607687647</v>
      </c>
      <c r="I79" s="3">
        <f t="shared" si="9"/>
        <v>0.3397866973909357</v>
      </c>
      <c r="J79" s="3">
        <f t="shared" si="10"/>
        <v>0.793137192153753</v>
      </c>
    </row>
    <row r="80" spans="5:10" x14ac:dyDescent="0.35">
      <c r="E80" s="1">
        <f t="shared" si="12"/>
        <v>76</v>
      </c>
      <c r="F80" s="3">
        <f t="shared" si="8"/>
        <v>1.3264502315156905</v>
      </c>
      <c r="G80" s="3">
        <f t="shared" si="6"/>
        <v>0.401417885871442</v>
      </c>
      <c r="H80" s="3">
        <f t="shared" si="7"/>
        <v>3.7263618944156893</v>
      </c>
      <c r="I80" s="3">
        <f t="shared" si="9"/>
        <v>0.401417885871442</v>
      </c>
      <c r="J80" s="3">
        <f t="shared" si="10"/>
        <v>0.7452723788831378</v>
      </c>
    </row>
    <row r="81" spans="5:10" x14ac:dyDescent="0.35">
      <c r="E81" s="1">
        <f t="shared" si="12"/>
        <v>77</v>
      </c>
      <c r="F81" s="3">
        <f t="shared" si="8"/>
        <v>1.3439035240356338</v>
      </c>
      <c r="G81" s="3">
        <f t="shared" si="6"/>
        <v>0.46292679857528984</v>
      </c>
      <c r="H81" s="3">
        <f t="shared" si="7"/>
        <v>3.4859027421314965</v>
      </c>
      <c r="I81" s="3">
        <f t="shared" si="9"/>
        <v>0.46292679857528984</v>
      </c>
      <c r="J81" s="3">
        <f t="shared" si="10"/>
        <v>0.69718054842629928</v>
      </c>
    </row>
    <row r="82" spans="5:10" x14ac:dyDescent="0.35">
      <c r="E82" s="1">
        <f t="shared" si="12"/>
        <v>78</v>
      </c>
      <c r="F82" s="3">
        <f t="shared" si="8"/>
        <v>1.3613568165555769</v>
      </c>
      <c r="G82" s="3">
        <f t="shared" si="6"/>
        <v>0.52429469929181782</v>
      </c>
      <c r="H82" s="3">
        <f t="shared" si="7"/>
        <v>3.2443817501033556</v>
      </c>
      <c r="I82" s="3">
        <f t="shared" si="9"/>
        <v>0.52429469929181782</v>
      </c>
      <c r="J82" s="3">
        <f t="shared" si="10"/>
        <v>0.64887635002067112</v>
      </c>
    </row>
    <row r="83" spans="5:10" x14ac:dyDescent="0.35">
      <c r="E83" s="1">
        <f t="shared" si="12"/>
        <v>79</v>
      </c>
      <c r="F83" s="3">
        <f t="shared" si="8"/>
        <v>1.3788101090755203</v>
      </c>
      <c r="G83" s="3">
        <f t="shared" si="6"/>
        <v>0.58550289476398609</v>
      </c>
      <c r="H83" s="3">
        <f t="shared" si="7"/>
        <v>3.0018724879650973</v>
      </c>
      <c r="I83" s="3">
        <f t="shared" si="9"/>
        <v>0.58550289476398609</v>
      </c>
      <c r="J83" s="3">
        <f t="shared" si="10"/>
        <v>0.60037449759301942</v>
      </c>
    </row>
    <row r="84" spans="5:10" x14ac:dyDescent="0.35">
      <c r="E84" s="1">
        <f t="shared" si="12"/>
        <v>80</v>
      </c>
      <c r="F84" s="3">
        <f t="shared" si="8"/>
        <v>1.3962634015954636</v>
      </c>
      <c r="G84" s="3">
        <f t="shared" si="6"/>
        <v>0.64653274038251507</v>
      </c>
      <c r="H84" s="3">
        <f t="shared" si="7"/>
        <v>2.7584488263872142</v>
      </c>
      <c r="I84" s="3">
        <f t="shared" si="9"/>
        <v>0.64653274038251507</v>
      </c>
      <c r="J84" s="3">
        <f t="shared" si="10"/>
        <v>0.55168976527744285</v>
      </c>
    </row>
    <row r="85" spans="5:10" x14ac:dyDescent="0.35">
      <c r="E85" s="1">
        <f t="shared" si="12"/>
        <v>81</v>
      </c>
      <c r="F85" s="3">
        <f t="shared" si="8"/>
        <v>1.4137166941154069</v>
      </c>
      <c r="G85" s="3">
        <f t="shared" si="6"/>
        <v>0.70736564586522033</v>
      </c>
      <c r="H85" s="3">
        <f t="shared" si="7"/>
        <v>2.5141849145751194</v>
      </c>
      <c r="I85" s="3">
        <f t="shared" si="9"/>
        <v>0.70736564586522033</v>
      </c>
      <c r="J85" s="3">
        <f t="shared" si="10"/>
        <v>0.50283698291502388</v>
      </c>
    </row>
    <row r="86" spans="5:10" x14ac:dyDescent="0.35">
      <c r="E86" s="1">
        <f t="shared" si="12"/>
        <v>82</v>
      </c>
      <c r="F86" s="3">
        <f t="shared" si="8"/>
        <v>1.4311699866353502</v>
      </c>
      <c r="G86" s="3">
        <f t="shared" si="6"/>
        <v>0.76798308091979006</v>
      </c>
      <c r="H86" s="3">
        <f t="shared" si="7"/>
        <v>2.2691551576825888</v>
      </c>
      <c r="I86" s="3">
        <f t="shared" si="9"/>
        <v>0.76798308091979006</v>
      </c>
      <c r="J86" s="3">
        <f t="shared" si="10"/>
        <v>0.45383103153651771</v>
      </c>
    </row>
    <row r="87" spans="5:10" x14ac:dyDescent="0.35">
      <c r="E87" s="1">
        <f t="shared" si="12"/>
        <v>83</v>
      </c>
      <c r="F87" s="3">
        <f t="shared" si="8"/>
        <v>1.4486232791552935</v>
      </c>
      <c r="G87" s="3">
        <f t="shared" si="6"/>
        <v>0.82836658088829229</v>
      </c>
      <c r="H87" s="3">
        <f t="shared" si="7"/>
        <v>2.0234341941472289</v>
      </c>
      <c r="I87" s="3">
        <f t="shared" si="9"/>
        <v>0.82836658088829229</v>
      </c>
      <c r="J87" s="3">
        <f t="shared" si="10"/>
        <v>0.40468683882944578</v>
      </c>
    </row>
    <row r="88" spans="5:10" x14ac:dyDescent="0.35">
      <c r="E88" s="1">
        <f t="shared" si="12"/>
        <v>84</v>
      </c>
      <c r="F88" s="3">
        <f t="shared" si="8"/>
        <v>1.4660765716752369</v>
      </c>
      <c r="G88" s="3">
        <f t="shared" si="6"/>
        <v>0.88849775237168882</v>
      </c>
      <c r="H88" s="3">
        <f t="shared" si="7"/>
        <v>1.7770968729548844</v>
      </c>
      <c r="I88" s="3">
        <f t="shared" si="9"/>
        <v>0.88849775237168882</v>
      </c>
      <c r="J88" s="3">
        <f t="shared" si="10"/>
        <v>0.35541937459097689</v>
      </c>
    </row>
    <row r="89" spans="5:10" x14ac:dyDescent="0.35">
      <c r="E89" s="1">
        <f t="shared" si="12"/>
        <v>85</v>
      </c>
      <c r="F89" s="3">
        <f t="shared" si="8"/>
        <v>1.4835298641951802</v>
      </c>
      <c r="G89" s="3">
        <f t="shared" si="6"/>
        <v>0.9483582788326419</v>
      </c>
      <c r="H89" s="3">
        <f t="shared" si="7"/>
        <v>1.5302182308399137</v>
      </c>
      <c r="I89" s="3">
        <f t="shared" si="9"/>
        <v>0.9483582788326419</v>
      </c>
      <c r="J89" s="3">
        <f t="shared" si="10"/>
        <v>0.30604364616798274</v>
      </c>
    </row>
    <row r="90" spans="5:10" x14ac:dyDescent="0.35">
      <c r="E90" s="1">
        <f t="shared" si="12"/>
        <v>86</v>
      </c>
      <c r="F90" s="3">
        <f t="shared" si="8"/>
        <v>1.5009831567151235</v>
      </c>
      <c r="G90" s="3">
        <f t="shared" si="6"/>
        <v>1.0079299261749097</v>
      </c>
      <c r="H90" s="3">
        <f t="shared" si="7"/>
        <v>1.2828734694282722</v>
      </c>
      <c r="I90" s="3">
        <f t="shared" si="9"/>
        <v>1.0079299261749097</v>
      </c>
      <c r="J90" s="3">
        <f t="shared" si="10"/>
        <v>0.2565746938856544</v>
      </c>
    </row>
    <row r="91" spans="5:10" x14ac:dyDescent="0.35">
      <c r="E91" s="1">
        <f t="shared" si="12"/>
        <v>87</v>
      </c>
      <c r="F91" s="3">
        <f t="shared" si="8"/>
        <v>1.5184364492350666</v>
      </c>
      <c r="G91" s="3">
        <f t="shared" si="6"/>
        <v>1.0671945482976275</v>
      </c>
      <c r="H91" s="3">
        <f t="shared" si="7"/>
        <v>1.0351379323303718</v>
      </c>
      <c r="I91" s="3">
        <f t="shared" si="9"/>
        <v>1.0671945482976275</v>
      </c>
      <c r="J91" s="3">
        <f t="shared" si="10"/>
        <v>0.20702758646607436</v>
      </c>
    </row>
    <row r="92" spans="5:10" x14ac:dyDescent="0.35">
      <c r="E92" s="1">
        <f t="shared" si="12"/>
        <v>88</v>
      </c>
      <c r="F92" s="3">
        <f t="shared" si="8"/>
        <v>1.5358897417550099</v>
      </c>
      <c r="G92" s="3">
        <f t="shared" si="6"/>
        <v>1.126134092622789</v>
      </c>
      <c r="H92" s="3">
        <f t="shared" si="7"/>
        <v>0.78708708219067414</v>
      </c>
      <c r="I92" s="3">
        <f t="shared" si="9"/>
        <v>1.126134092622789</v>
      </c>
      <c r="J92" s="3">
        <f t="shared" si="10"/>
        <v>0.15741741643813481</v>
      </c>
    </row>
    <row r="93" spans="5:10" x14ac:dyDescent="0.35">
      <c r="E93" s="1">
        <f t="shared" si="12"/>
        <v>89</v>
      </c>
      <c r="F93" s="3">
        <f t="shared" si="8"/>
        <v>1.5533430342749532</v>
      </c>
      <c r="G93" s="3">
        <f t="shared" si="6"/>
        <v>1.1847306055942313</v>
      </c>
      <c r="H93" s="3">
        <f t="shared" si="7"/>
        <v>0.53879647770105732</v>
      </c>
      <c r="I93" s="3">
        <f t="shared" si="9"/>
        <v>1.1847306055942313</v>
      </c>
      <c r="J93" s="3">
        <f t="shared" si="10"/>
        <v>0.10775929554021148</v>
      </c>
    </row>
    <row r="94" spans="5:10" x14ac:dyDescent="0.35">
      <c r="E94" s="1">
        <f t="shared" si="12"/>
        <v>90</v>
      </c>
      <c r="F94" s="3">
        <f t="shared" si="8"/>
        <v>1.5707963267948966</v>
      </c>
      <c r="G94" s="3">
        <f t="shared" si="6"/>
        <v>1.2429662381464666</v>
      </c>
      <c r="H94" s="3">
        <f t="shared" si="7"/>
        <v>0.29034175058489414</v>
      </c>
      <c r="I94" s="3">
        <f t="shared" si="9"/>
        <v>1.2429662381464666</v>
      </c>
      <c r="J94" s="3">
        <f t="shared" si="10"/>
        <v>5.8068350116978834E-2</v>
      </c>
    </row>
    <row r="95" spans="5:10" x14ac:dyDescent="0.35">
      <c r="E95" s="1">
        <f t="shared" si="12"/>
        <v>91</v>
      </c>
      <c r="F95" s="3">
        <f t="shared" si="8"/>
        <v>1.5882496193148399</v>
      </c>
      <c r="G95" s="3">
        <f t="shared" si="6"/>
        <v>1.3008232511416784</v>
      </c>
      <c r="H95" s="3">
        <f t="shared" si="7"/>
        <v>4.1798582558899094E-2</v>
      </c>
      <c r="I95" s="3">
        <f t="shared" si="9"/>
        <v>1.3008232511416784</v>
      </c>
      <c r="J95" s="3">
        <f t="shared" si="10"/>
        <v>8.3597165117798179E-3</v>
      </c>
    </row>
    <row r="96" spans="5:10" x14ac:dyDescent="0.35">
      <c r="E96" s="1">
        <f t="shared" si="12"/>
        <v>92</v>
      </c>
      <c r="F96" s="3">
        <f t="shared" si="8"/>
        <v>1.6057029118347832</v>
      </c>
      <c r="G96" s="3">
        <f t="shared" si="6"/>
        <v>1.3582840207732345</v>
      </c>
      <c r="H96" s="3">
        <f t="shared" si="7"/>
        <v>-0.2067573177202553</v>
      </c>
      <c r="I96" s="3">
        <f t="shared" si="9"/>
        <v>1.3582840207732345</v>
      </c>
      <c r="J96" s="3">
        <f t="shared" si="10"/>
        <v>-4.1351463544051059E-2</v>
      </c>
    </row>
    <row r="97" spans="5:10" x14ac:dyDescent="0.35">
      <c r="E97" s="1">
        <f t="shared" si="12"/>
        <v>93</v>
      </c>
      <c r="F97" s="3">
        <f t="shared" si="8"/>
        <v>1.6231562043547265</v>
      </c>
      <c r="G97" s="3">
        <f t="shared" si="6"/>
        <v>1.4153310439340703</v>
      </c>
      <c r="H97" s="3">
        <f t="shared" si="7"/>
        <v>-0.45525023771752915</v>
      </c>
      <c r="I97" s="3">
        <f t="shared" si="9"/>
        <v>1.4153310439340703</v>
      </c>
      <c r="J97" s="3">
        <f t="shared" si="10"/>
        <v>-9.1050047543505833E-2</v>
      </c>
    </row>
    <row r="98" spans="5:10" x14ac:dyDescent="0.35">
      <c r="E98" s="1">
        <f t="shared" si="12"/>
        <v>94</v>
      </c>
      <c r="F98" s="3">
        <f t="shared" si="8"/>
        <v>1.6406094968746698</v>
      </c>
      <c r="G98" s="3">
        <f t="shared" si="6"/>
        <v>1.4719469435483039</v>
      </c>
      <c r="H98" s="3">
        <f t="shared" si="7"/>
        <v>-0.70360448408228593</v>
      </c>
      <c r="I98" s="3">
        <f t="shared" si="9"/>
        <v>1.4719469435483039</v>
      </c>
      <c r="J98" s="3">
        <f t="shared" si="10"/>
        <v>-0.14072089681645719</v>
      </c>
    </row>
    <row r="99" spans="5:10" x14ac:dyDescent="0.35">
      <c r="E99" s="1">
        <f t="shared" si="12"/>
        <v>95</v>
      </c>
      <c r="F99" s="3">
        <f t="shared" si="8"/>
        <v>1.6580627893946132</v>
      </c>
      <c r="G99" s="3">
        <f t="shared" si="6"/>
        <v>1.5281144738644628</v>
      </c>
      <c r="H99" s="3">
        <f t="shared" si="7"/>
        <v>-0.95174440570522179</v>
      </c>
      <c r="I99" s="3">
        <f t="shared" si="9"/>
        <v>1.5281144738644628</v>
      </c>
      <c r="J99" s="3">
        <f t="shared" si="10"/>
        <v>-0.19034888114104434</v>
      </c>
    </row>
    <row r="100" spans="5:10" x14ac:dyDescent="0.35">
      <c r="E100" s="1">
        <f t="shared" si="12"/>
        <v>96</v>
      </c>
      <c r="F100" s="3">
        <f t="shared" si="8"/>
        <v>1.6755160819145565</v>
      </c>
      <c r="G100" s="3">
        <f t="shared" si="6"/>
        <v>1.5838165257087051</v>
      </c>
      <c r="H100" s="3">
        <f t="shared" si="7"/>
        <v>-1.1995944167624246</v>
      </c>
      <c r="I100" s="3">
        <f t="shared" si="9"/>
        <v>1.5838165257087051</v>
      </c>
      <c r="J100" s="3">
        <f t="shared" si="10"/>
        <v>-0.2399188833524849</v>
      </c>
    </row>
    <row r="101" spans="5:10" x14ac:dyDescent="0.35">
      <c r="E101" s="1">
        <f t="shared" si="12"/>
        <v>97</v>
      </c>
      <c r="F101" s="3">
        <f t="shared" si="8"/>
        <v>1.6929693744344996</v>
      </c>
      <c r="G101" s="3">
        <f t="shared" si="6"/>
        <v>1.6390361316964408</v>
      </c>
      <c r="H101" s="3">
        <f t="shared" si="7"/>
        <v>-1.4470790197395464</v>
      </c>
      <c r="I101" s="3">
        <f t="shared" si="9"/>
        <v>1.6390361316964408</v>
      </c>
      <c r="J101" s="3">
        <f t="shared" si="10"/>
        <v>-0.28941580394790933</v>
      </c>
    </row>
    <row r="102" spans="5:10" x14ac:dyDescent="0.35">
      <c r="E102" s="1">
        <f t="shared" si="12"/>
        <v>98</v>
      </c>
      <c r="F102" s="3">
        <f t="shared" si="8"/>
        <v>1.7104226669544429</v>
      </c>
      <c r="G102" s="3">
        <f t="shared" si="6"/>
        <v>1.6937564714007629</v>
      </c>
      <c r="H102" s="3">
        <f t="shared" si="7"/>
        <v>-1.6941228284290897</v>
      </c>
      <c r="I102" s="3">
        <f t="shared" si="9"/>
        <v>1.6937564714007629</v>
      </c>
      <c r="J102" s="3">
        <f t="shared" si="10"/>
        <v>-0.33882456568581792</v>
      </c>
    </row>
    <row r="103" spans="5:10" x14ac:dyDescent="0.35">
      <c r="E103" s="1">
        <f t="shared" si="12"/>
        <v>99</v>
      </c>
      <c r="F103" s="3">
        <f t="shared" si="8"/>
        <v>1.7278759594743862</v>
      </c>
      <c r="G103" s="3">
        <f t="shared" si="6"/>
        <v>1.747960876476109</v>
      </c>
      <c r="H103" s="3">
        <f t="shared" si="7"/>
        <v>-1.9406505908937568</v>
      </c>
      <c r="I103" s="3">
        <f t="shared" si="9"/>
        <v>1.747960876476109</v>
      </c>
      <c r="J103" s="3">
        <f t="shared" si="10"/>
        <v>-0.38813011817875137</v>
      </c>
    </row>
    <row r="104" spans="5:10" x14ac:dyDescent="0.35">
      <c r="E104" s="1">
        <f t="shared" si="12"/>
        <v>100</v>
      </c>
      <c r="F104" s="3">
        <f t="shared" si="8"/>
        <v>1.7453292519943295</v>
      </c>
      <c r="G104" s="3">
        <f t="shared" si="6"/>
        <v>1.8016328357356031</v>
      </c>
      <c r="H104" s="3">
        <f t="shared" si="7"/>
        <v>-2.1865872123889334</v>
      </c>
      <c r="I104" s="3">
        <f t="shared" si="9"/>
        <v>1.8016328357356031</v>
      </c>
      <c r="J104" s="3">
        <f t="shared" si="10"/>
        <v>-0.4373174424777867</v>
      </c>
    </row>
    <row r="105" spans="5:10" x14ac:dyDescent="0.35">
      <c r="E105" s="1">
        <f t="shared" si="12"/>
        <v>101</v>
      </c>
      <c r="F105" s="3">
        <f t="shared" si="8"/>
        <v>1.7627825445142729</v>
      </c>
      <c r="G105" s="3">
        <f t="shared" si="6"/>
        <v>1.8547560001805228</v>
      </c>
      <c r="H105" s="3">
        <f t="shared" si="7"/>
        <v>-2.431857778237271</v>
      </c>
      <c r="I105" s="3">
        <f t="shared" si="9"/>
        <v>1.8547560001805228</v>
      </c>
      <c r="J105" s="3">
        <f t="shared" si="10"/>
        <v>-0.48637155564745416</v>
      </c>
    </row>
    <row r="106" spans="5:10" x14ac:dyDescent="0.35">
      <c r="E106" s="1">
        <f t="shared" si="12"/>
        <v>102</v>
      </c>
      <c r="F106" s="3">
        <f t="shared" si="8"/>
        <v>1.7802358370342162</v>
      </c>
      <c r="G106" s="3">
        <f t="shared" si="6"/>
        <v>1.9073141879803628</v>
      </c>
      <c r="H106" s="3">
        <f t="shared" si="7"/>
        <v>-2.6763875766484211</v>
      </c>
      <c r="I106" s="3">
        <f t="shared" si="9"/>
        <v>1.9073141879803628</v>
      </c>
      <c r="J106" s="3">
        <f t="shared" si="10"/>
        <v>-0.53527751532968426</v>
      </c>
    </row>
    <row r="107" spans="5:10" x14ac:dyDescent="0.35">
      <c r="E107" s="1">
        <f t="shared" si="12"/>
        <v>103</v>
      </c>
      <c r="F107" s="3">
        <f t="shared" si="8"/>
        <v>1.7976891295541595</v>
      </c>
      <c r="G107" s="3">
        <f t="shared" si="6"/>
        <v>1.9592913894019768</v>
      </c>
      <c r="H107" s="3">
        <f t="shared" si="7"/>
        <v>-2.920102121476976</v>
      </c>
      <c r="I107" s="3">
        <f t="shared" si="9"/>
        <v>1.9592913894019768</v>
      </c>
      <c r="J107" s="3">
        <f t="shared" si="10"/>
        <v>-0.58402042429539525</v>
      </c>
    </row>
    <row r="108" spans="5:10" x14ac:dyDescent="0.35">
      <c r="E108" s="1">
        <f t="shared" si="12"/>
        <v>104</v>
      </c>
      <c r="F108" s="3">
        <f t="shared" si="8"/>
        <v>1.8151424220741028</v>
      </c>
      <c r="G108" s="3">
        <f t="shared" si="6"/>
        <v>2.0106717716862965</v>
      </c>
      <c r="H108" s="3">
        <f t="shared" si="7"/>
        <v>-3.1629271749116645</v>
      </c>
      <c r="I108" s="3">
        <f t="shared" si="9"/>
        <v>2.0106717716862965</v>
      </c>
      <c r="J108" s="3">
        <f t="shared" si="10"/>
        <v>-0.63258543498233288</v>
      </c>
    </row>
    <row r="109" spans="5:10" x14ac:dyDescent="0.35">
      <c r="E109" s="1">
        <f t="shared" si="12"/>
        <v>105</v>
      </c>
      <c r="F109" s="3">
        <f t="shared" si="8"/>
        <v>1.8325957145940461</v>
      </c>
      <c r="G109" s="3">
        <f t="shared" si="6"/>
        <v>2.0614396838711464</v>
      </c>
      <c r="H109" s="3">
        <f t="shared" si="7"/>
        <v>-3.4047887700889117</v>
      </c>
      <c r="I109" s="3">
        <f t="shared" si="9"/>
        <v>2.0614396838711464</v>
      </c>
      <c r="J109" s="3">
        <f t="shared" si="10"/>
        <v>-0.68095775401778236</v>
      </c>
    </row>
    <row r="110" spans="5:10" x14ac:dyDescent="0.35">
      <c r="E110" s="1">
        <f t="shared" si="12"/>
        <v>106</v>
      </c>
      <c r="F110" s="3">
        <f t="shared" si="8"/>
        <v>1.8500490071139892</v>
      </c>
      <c r="G110" s="3">
        <f t="shared" si="6"/>
        <v>2.1115796615586735</v>
      </c>
      <c r="H110" s="3">
        <f t="shared" si="7"/>
        <v>-3.6456132336238558</v>
      </c>
      <c r="I110" s="3">
        <f t="shared" si="9"/>
        <v>2.1115796615586735</v>
      </c>
      <c r="J110" s="3">
        <f t="shared" si="10"/>
        <v>-0.72912264672477112</v>
      </c>
    </row>
    <row r="111" spans="5:10" x14ac:dyDescent="0.35">
      <c r="E111" s="1">
        <f t="shared" si="12"/>
        <v>107</v>
      </c>
      <c r="F111" s="3">
        <f t="shared" si="8"/>
        <v>1.8675022996339325</v>
      </c>
      <c r="G111" s="3">
        <f t="shared" si="6"/>
        <v>2.1610764316259594</v>
      </c>
      <c r="H111" s="3">
        <f t="shared" si="7"/>
        <v>-3.8853272080519954</v>
      </c>
      <c r="I111" s="3">
        <f t="shared" si="9"/>
        <v>2.1610764316259594</v>
      </c>
      <c r="J111" s="3">
        <f t="shared" si="10"/>
        <v>-0.77706544161039914</v>
      </c>
    </row>
    <row r="112" spans="5:10" x14ac:dyDescent="0.35">
      <c r="E112" s="1">
        <f t="shared" si="12"/>
        <v>108</v>
      </c>
      <c r="F112" s="3">
        <f t="shared" si="8"/>
        <v>1.8849555921538759</v>
      </c>
      <c r="G112" s="3">
        <f t="shared" si="6"/>
        <v>2.209914916877354</v>
      </c>
      <c r="H112" s="3">
        <f t="shared" si="7"/>
        <v>-4.1238576741745501</v>
      </c>
      <c r="I112" s="3">
        <f t="shared" si="9"/>
        <v>2.209914916877354</v>
      </c>
      <c r="J112" s="3">
        <f t="shared" si="10"/>
        <v>-0.82477153483491006</v>
      </c>
    </row>
    <row r="113" spans="5:10" x14ac:dyDescent="0.35">
      <c r="E113" s="1">
        <f t="shared" si="12"/>
        <v>109</v>
      </c>
      <c r="F113" s="3">
        <f t="shared" si="8"/>
        <v>1.9024088846738192</v>
      </c>
      <c r="G113" s="3">
        <f t="shared" si="6"/>
        <v>2.2580802406371414</v>
      </c>
      <c r="H113" s="3">
        <f t="shared" si="7"/>
        <v>-4.3611319733008465</v>
      </c>
      <c r="I113" s="3">
        <f t="shared" si="9"/>
        <v>2.2580802406371414</v>
      </c>
      <c r="J113" s="3">
        <f t="shared" si="10"/>
        <v>-0.87222639466016938</v>
      </c>
    </row>
    <row r="114" spans="5:10" x14ac:dyDescent="0.35">
      <c r="E114" s="1">
        <f t="shared" si="12"/>
        <v>110</v>
      </c>
      <c r="F114" s="3">
        <f t="shared" si="8"/>
        <v>1.9198621771937625</v>
      </c>
      <c r="G114" s="3">
        <f t="shared" si="6"/>
        <v>2.3055577312811169</v>
      </c>
      <c r="H114" s="3">
        <f t="shared" si="7"/>
        <v>-4.597077829380841</v>
      </c>
      <c r="I114" s="3">
        <f t="shared" si="9"/>
        <v>2.3055577312811169</v>
      </c>
      <c r="J114" s="3">
        <f t="shared" si="10"/>
        <v>-0.91941556587616813</v>
      </c>
    </row>
    <row r="115" spans="5:10" x14ac:dyDescent="0.35">
      <c r="E115" s="1">
        <f t="shared" si="12"/>
        <v>111</v>
      </c>
      <c r="F115" s="3">
        <f t="shared" si="8"/>
        <v>1.9373154697137058</v>
      </c>
      <c r="G115" s="3">
        <f t="shared" si="6"/>
        <v>2.3523329267057038</v>
      </c>
      <c r="H115" s="3">
        <f t="shared" si="7"/>
        <v>-4.8316233710211129</v>
      </c>
      <c r="I115" s="3">
        <f t="shared" si="9"/>
        <v>2.3523329267057038</v>
      </c>
      <c r="J115" s="3">
        <f t="shared" si="10"/>
        <v>-0.96632467420422252</v>
      </c>
    </row>
    <row r="116" spans="5:10" x14ac:dyDescent="0.35">
      <c r="E116" s="1">
        <f>E115+1</f>
        <v>112</v>
      </c>
      <c r="F116" s="3">
        <f t="shared" si="8"/>
        <v>1.9547687622336491</v>
      </c>
      <c r="G116" s="3">
        <f t="shared" si="6"/>
        <v>2.3983915787332561</v>
      </c>
      <c r="H116" s="3">
        <f t="shared" si="7"/>
        <v>-5.0646971533775851</v>
      </c>
      <c r="I116" s="3">
        <f t="shared" si="9"/>
        <v>2.3983915787332561</v>
      </c>
      <c r="J116" s="3">
        <f t="shared" si="10"/>
        <v>-1.0129394306755171</v>
      </c>
    </row>
    <row r="117" spans="5:10" x14ac:dyDescent="0.35">
      <c r="E117" s="1">
        <f t="shared" ref="E117:E127" si="13">E116+1</f>
        <v>113</v>
      </c>
      <c r="F117" s="3">
        <f t="shared" si="8"/>
        <v>1.9722220547535925</v>
      </c>
      <c r="G117" s="3">
        <f t="shared" si="6"/>
        <v>2.4437196574521853</v>
      </c>
      <c r="H117" s="3">
        <f t="shared" si="7"/>
        <v>-5.296228179918316</v>
      </c>
      <c r="I117" s="3">
        <f t="shared" si="9"/>
        <v>2.4437196574521853</v>
      </c>
      <c r="J117" s="3">
        <f t="shared" si="10"/>
        <v>-1.0592456359836631</v>
      </c>
    </row>
    <row r="118" spans="5:10" x14ac:dyDescent="0.35">
      <c r="E118" s="1">
        <f t="shared" si="13"/>
        <v>114</v>
      </c>
      <c r="F118" s="3">
        <f t="shared" si="8"/>
        <v>1.9896753472735358</v>
      </c>
      <c r="G118" s="3">
        <f t="shared" si="6"/>
        <v>2.4883033554906104</v>
      </c>
      <c r="H118" s="3">
        <f t="shared" si="7"/>
        <v>-5.5261459240497288</v>
      </c>
      <c r="I118" s="3">
        <f t="shared" si="9"/>
        <v>2.4883033554906104</v>
      </c>
      <c r="J118" s="3">
        <f t="shared" si="10"/>
        <v>-1.1052291848099458</v>
      </c>
    </row>
    <row r="119" spans="5:10" x14ac:dyDescent="0.35">
      <c r="E119" s="1">
        <f t="shared" si="13"/>
        <v>115</v>
      </c>
      <c r="F119" s="3">
        <f t="shared" si="8"/>
        <v>2.0071286397934789</v>
      </c>
      <c r="G119" s="3">
        <f t="shared" si="6"/>
        <v>2.5321290922222168</v>
      </c>
      <c r="H119" s="3">
        <f t="shared" si="7"/>
        <v>-5.7543803505996953</v>
      </c>
      <c r="I119" s="3">
        <f t="shared" si="9"/>
        <v>2.5321290922222168</v>
      </c>
      <c r="J119" s="3">
        <f t="shared" si="10"/>
        <v>-1.1508760701199392</v>
      </c>
    </row>
    <row r="120" spans="5:10" x14ac:dyDescent="0.35">
      <c r="E120" s="1">
        <f t="shared" si="13"/>
        <v>116</v>
      </c>
      <c r="F120" s="3">
        <f t="shared" si="8"/>
        <v>2.0245819323134224</v>
      </c>
      <c r="G120" s="3">
        <f t="shared" si="6"/>
        <v>2.5751835179030484</v>
      </c>
      <c r="H120" s="3">
        <f t="shared" si="7"/>
        <v>-5.9808619371509417</v>
      </c>
      <c r="I120" s="3">
        <f t="shared" si="9"/>
        <v>2.5751835179030484</v>
      </c>
      <c r="J120" s="3">
        <f t="shared" si="10"/>
        <v>-1.1961723874301884</v>
      </c>
    </row>
    <row r="121" spans="5:10" x14ac:dyDescent="0.35">
      <c r="E121" s="1">
        <f t="shared" si="13"/>
        <v>117</v>
      </c>
      <c r="F121" s="3">
        <f t="shared" si="8"/>
        <v>2.0420352248333655</v>
      </c>
      <c r="G121" s="3">
        <f t="shared" si="6"/>
        <v>2.6174535177379621</v>
      </c>
      <c r="H121" s="3">
        <f t="shared" si="7"/>
        <v>-6.2055216952182137</v>
      </c>
      <c r="I121" s="3">
        <f t="shared" si="9"/>
        <v>2.6174535177379621</v>
      </c>
      <c r="J121" s="3">
        <f t="shared" si="10"/>
        <v>-1.2411043390436427</v>
      </c>
    </row>
    <row r="122" spans="5:10" x14ac:dyDescent="0.35">
      <c r="E122" s="1">
        <f t="shared" si="13"/>
        <v>118</v>
      </c>
      <c r="F122" s="3">
        <f t="shared" si="8"/>
        <v>2.0594885173533091</v>
      </c>
      <c r="G122" s="3">
        <f t="shared" si="6"/>
        <v>2.6589262158755327</v>
      </c>
      <c r="H122" s="3">
        <f t="shared" si="7"/>
        <v>-6.4282911912628924</v>
      </c>
      <c r="I122" s="3">
        <f t="shared" si="9"/>
        <v>2.6589262158755327</v>
      </c>
      <c r="J122" s="3">
        <f t="shared" si="10"/>
        <v>-1.2856582382525785</v>
      </c>
    </row>
    <row r="123" spans="5:10" x14ac:dyDescent="0.35">
      <c r="E123" s="1">
        <f t="shared" si="13"/>
        <v>119</v>
      </c>
      <c r="F123" s="3">
        <f t="shared" si="8"/>
        <v>2.0769418098732522</v>
      </c>
      <c r="G123" s="3">
        <f t="shared" si="6"/>
        <v>2.6995889793301497</v>
      </c>
      <c r="H123" s="3">
        <f t="shared" si="7"/>
        <v>-6.6491025675384501</v>
      </c>
      <c r="I123" s="3">
        <f t="shared" si="9"/>
        <v>2.6995889793301497</v>
      </c>
      <c r="J123" s="3">
        <f t="shared" si="10"/>
        <v>-1.3298205135076899</v>
      </c>
    </row>
    <row r="124" spans="5:10" x14ac:dyDescent="0.35">
      <c r="E124" s="1">
        <f t="shared" si="13"/>
        <v>120</v>
      </c>
      <c r="F124" s="3">
        <f t="shared" si="8"/>
        <v>2.0943951023931953</v>
      </c>
      <c r="G124" s="3">
        <f t="shared" si="6"/>
        <v>2.7394294218301578</v>
      </c>
      <c r="H124" s="3">
        <f t="shared" si="7"/>
        <v>-6.8678885627606316</v>
      </c>
      <c r="I124" s="3">
        <f t="shared" si="9"/>
        <v>2.7394294218301578</v>
      </c>
      <c r="J124" s="3">
        <f t="shared" si="10"/>
        <v>-1.3735777125521262</v>
      </c>
    </row>
    <row r="125" spans="5:10" x14ac:dyDescent="0.35">
      <c r="E125" s="1">
        <f t="shared" si="13"/>
        <v>121</v>
      </c>
      <c r="F125" s="3">
        <f t="shared" si="8"/>
        <v>2.1118483949131388</v>
      </c>
      <c r="G125" s="3">
        <f t="shared" si="6"/>
        <v>2.7784354075908286</v>
      </c>
      <c r="H125" s="3">
        <f t="shared" si="7"/>
        <v>-7.0845825325958733</v>
      </c>
      <c r="I125" s="3">
        <f t="shared" si="9"/>
        <v>2.7784354075908286</v>
      </c>
      <c r="J125" s="3">
        <f t="shared" si="10"/>
        <v>-1.4169165065191747</v>
      </c>
    </row>
    <row r="126" spans="5:10" x14ac:dyDescent="0.35">
      <c r="E126" s="1">
        <f t="shared" si="13"/>
        <v>122</v>
      </c>
      <c r="F126" s="3">
        <f t="shared" si="8"/>
        <v>2.1293016874330819</v>
      </c>
      <c r="G126" s="3">
        <f t="shared" si="6"/>
        <v>2.8165950550110375</v>
      </c>
      <c r="H126" s="3">
        <f t="shared" si="7"/>
        <v>-7.2991184699617886</v>
      </c>
      <c r="I126" s="3">
        <f t="shared" si="9"/>
        <v>2.8165950550110375</v>
      </c>
      <c r="J126" s="3">
        <f t="shared" si="10"/>
        <v>-1.4598236939923577</v>
      </c>
    </row>
    <row r="127" spans="5:10" x14ac:dyDescent="0.35">
      <c r="E127" s="1">
        <f t="shared" si="13"/>
        <v>123</v>
      </c>
      <c r="F127" s="3">
        <f t="shared" si="8"/>
        <v>2.1467549799530254</v>
      </c>
      <c r="G127" s="3">
        <f t="shared" si="6"/>
        <v>2.8538967402925222</v>
      </c>
      <c r="H127" s="3">
        <f t="shared" si="7"/>
        <v>-7.5114310251336089</v>
      </c>
      <c r="I127" s="3">
        <f t="shared" si="9"/>
        <v>2.8538967402925222</v>
      </c>
      <c r="J127" s="3">
        <f t="shared" si="10"/>
        <v>-1.5022862050267218</v>
      </c>
    </row>
    <row r="128" spans="5:10" x14ac:dyDescent="0.35">
      <c r="E128" s="1">
        <f>E127+1</f>
        <v>124</v>
      </c>
      <c r="F128" s="3">
        <f t="shared" si="8"/>
        <v>2.1642082724729685</v>
      </c>
      <c r="G128" s="3">
        <f t="shared" si="6"/>
        <v>2.890329100980594</v>
      </c>
      <c r="H128" s="3">
        <f t="shared" si="7"/>
        <v>-7.7214555256503026</v>
      </c>
      <c r="I128" s="3">
        <f t="shared" si="9"/>
        <v>2.890329100980594</v>
      </c>
      <c r="J128" s="3">
        <f t="shared" si="10"/>
        <v>-1.5442911051300605</v>
      </c>
    </row>
    <row r="129" spans="5:10" x14ac:dyDescent="0.35">
      <c r="E129" s="1">
        <f t="shared" ref="E129:E192" si="14">E128+1</f>
        <v>125</v>
      </c>
      <c r="F129" s="3">
        <f t="shared" si="8"/>
        <v>2.1816615649929121</v>
      </c>
      <c r="G129" s="3">
        <f t="shared" si="6"/>
        <v>2.9258810394252617</v>
      </c>
      <c r="H129" s="3">
        <f t="shared" si="7"/>
        <v>-7.9291279960144712</v>
      </c>
      <c r="I129" s="3">
        <f t="shared" si="9"/>
        <v>2.9258810394252617</v>
      </c>
      <c r="J129" s="3">
        <f t="shared" si="10"/>
        <v>-1.5858255992028942</v>
      </c>
    </row>
    <row r="130" spans="5:10" x14ac:dyDescent="0.35">
      <c r="E130" s="1">
        <f t="shared" si="14"/>
        <v>126</v>
      </c>
      <c r="F130" s="3">
        <f t="shared" si="8"/>
        <v>2.1991148575128552</v>
      </c>
      <c r="G130" s="3">
        <f t="shared" si="6"/>
        <v>2.9605417261616731</v>
      </c>
      <c r="H130" s="3">
        <f t="shared" si="7"/>
        <v>-8.1343851771798583</v>
      </c>
      <c r="I130" s="3">
        <f t="shared" si="9"/>
        <v>2.9605417261616731</v>
      </c>
      <c r="J130" s="3">
        <f t="shared" si="10"/>
        <v>-1.6268770354359716</v>
      </c>
    </row>
    <row r="131" spans="5:10" x14ac:dyDescent="0.35">
      <c r="E131" s="1">
        <f t="shared" si="14"/>
        <v>127</v>
      </c>
      <c r="F131" s="3">
        <f t="shared" si="8"/>
        <v>2.2165681500327987</v>
      </c>
      <c r="G131" s="3">
        <f t="shared" si="6"/>
        <v>2.9943006032088859</v>
      </c>
      <c r="H131" s="3">
        <f t="shared" si="7"/>
        <v>-8.3371645458207233</v>
      </c>
      <c r="I131" s="3">
        <f t="shared" si="9"/>
        <v>2.9943006032088859</v>
      </c>
      <c r="J131" s="3">
        <f t="shared" si="10"/>
        <v>-1.6674329091641449</v>
      </c>
    </row>
    <row r="132" spans="5:10" x14ac:dyDescent="0.35">
      <c r="E132" s="1">
        <f t="shared" si="14"/>
        <v>128</v>
      </c>
      <c r="F132" s="3">
        <f t="shared" si="8"/>
        <v>2.2340214425527418</v>
      </c>
      <c r="G132" s="3">
        <f t="shared" ref="G132:G195" si="15">$C$29*SIN(F132)*COS($C$24)-$C$28*COS(F132)*SIN($C$24)</f>
        <v>3.0271473872859191</v>
      </c>
      <c r="H132" s="3">
        <f t="shared" ref="H132:H195" si="16">$C$29*SIN(F132)*SIN($C$24)+$C$28*COS(F132)*COS($C$24)</f>
        <v>-8.5374043333770029</v>
      </c>
      <c r="I132" s="3">
        <f t="shared" si="9"/>
        <v>3.0271473872859191</v>
      </c>
      <c r="J132" s="3">
        <f t="shared" si="10"/>
        <v>-1.7074808666754004</v>
      </c>
    </row>
    <row r="133" spans="5:10" x14ac:dyDescent="0.35">
      <c r="E133" s="1">
        <f t="shared" si="14"/>
        <v>129</v>
      </c>
      <c r="F133" s="3">
        <f t="shared" ref="F133:F196" si="17">RADIANS(E133)</f>
        <v>2.2514747350726849</v>
      </c>
      <c r="G133" s="3">
        <f t="shared" si="15"/>
        <v>3.059072072944149</v>
      </c>
      <c r="H133" s="3">
        <f t="shared" si="16"/>
        <v>-8.7350435448696402</v>
      </c>
      <c r="I133" s="3">
        <f t="shared" ref="I133:I196" si="18">G133*1000/($C$5*$C$3^3)</f>
        <v>3.059072072944149</v>
      </c>
      <c r="J133" s="3">
        <f t="shared" ref="J133:J196" si="19">H133*1000/($C$5*$C$3^4)</f>
        <v>-1.7470087089739281</v>
      </c>
    </row>
    <row r="134" spans="5:10" x14ac:dyDescent="0.35">
      <c r="E134" s="1">
        <f t="shared" si="14"/>
        <v>130</v>
      </c>
      <c r="F134" s="3">
        <f t="shared" si="17"/>
        <v>2.2689280275926285</v>
      </c>
      <c r="G134" s="3">
        <f t="shared" si="15"/>
        <v>3.0900649356150645</v>
      </c>
      <c r="H134" s="3">
        <f t="shared" si="16"/>
        <v>-8.9300219774802496</v>
      </c>
      <c r="I134" s="3">
        <f t="shared" si="18"/>
        <v>3.0900649356150645</v>
      </c>
      <c r="J134" s="3">
        <f t="shared" si="19"/>
        <v>-1.7860043954960501</v>
      </c>
    </row>
    <row r="135" spans="5:10" x14ac:dyDescent="0.35">
      <c r="E135" s="1">
        <f t="shared" si="14"/>
        <v>131</v>
      </c>
      <c r="F135" s="3">
        <f t="shared" si="17"/>
        <v>2.2863813201125716</v>
      </c>
      <c r="G135" s="3">
        <f t="shared" si="15"/>
        <v>3.1201165345724595</v>
      </c>
      <c r="H135" s="3">
        <f t="shared" si="16"/>
        <v>-9.1222802388894486</v>
      </c>
      <c r="I135" s="3">
        <f t="shared" si="18"/>
        <v>3.1201165345724595</v>
      </c>
      <c r="J135" s="3">
        <f t="shared" si="19"/>
        <v>-1.8244560477778897</v>
      </c>
    </row>
    <row r="136" spans="5:10" x14ac:dyDescent="0.35">
      <c r="E136" s="1">
        <f t="shared" si="14"/>
        <v>132</v>
      </c>
      <c r="F136" s="3">
        <f t="shared" si="17"/>
        <v>2.3038346126325151</v>
      </c>
      <c r="G136" s="3">
        <f t="shared" si="15"/>
        <v>3.1492177158081773</v>
      </c>
      <c r="H136" s="3">
        <f t="shared" si="16"/>
        <v>-9.3117597653683699</v>
      </c>
      <c r="I136" s="3">
        <f t="shared" si="18"/>
        <v>3.1492177158081773</v>
      </c>
      <c r="J136" s="3">
        <f t="shared" si="19"/>
        <v>-1.8623519530736738</v>
      </c>
    </row>
    <row r="137" spans="5:10" x14ac:dyDescent="0.35">
      <c r="E137" s="1">
        <f t="shared" si="14"/>
        <v>133</v>
      </c>
      <c r="F137" s="3">
        <f t="shared" si="17"/>
        <v>2.3212879051524582</v>
      </c>
      <c r="G137" s="3">
        <f t="shared" si="15"/>
        <v>3.1773596148205017</v>
      </c>
      <c r="H137" s="3">
        <f t="shared" si="16"/>
        <v>-9.4984028396177145</v>
      </c>
      <c r="I137" s="3">
        <f t="shared" si="18"/>
        <v>3.1773596148205017</v>
      </c>
      <c r="J137" s="3">
        <f t="shared" si="19"/>
        <v>-1.8996805679235429</v>
      </c>
    </row>
    <row r="138" spans="5:10" x14ac:dyDescent="0.35">
      <c r="E138" s="1">
        <f t="shared" si="14"/>
        <v>134</v>
      </c>
      <c r="F138" s="3">
        <f t="shared" si="17"/>
        <v>2.3387411976724017</v>
      </c>
      <c r="G138" s="3">
        <f t="shared" si="15"/>
        <v>3.2045336593143787</v>
      </c>
      <c r="H138" s="3">
        <f t="shared" si="16"/>
        <v>-9.682152608349023</v>
      </c>
      <c r="I138" s="3">
        <f t="shared" si="18"/>
        <v>3.2045336593143787</v>
      </c>
      <c r="J138" s="3">
        <f t="shared" si="19"/>
        <v>-1.9364305216698046</v>
      </c>
    </row>
    <row r="139" spans="5:10" x14ac:dyDescent="0.35">
      <c r="E139" s="1">
        <f t="shared" si="14"/>
        <v>135</v>
      </c>
      <c r="F139" s="3">
        <f t="shared" si="17"/>
        <v>2.3561944901923448</v>
      </c>
      <c r="G139" s="3">
        <f t="shared" si="15"/>
        <v>3.2307315718126142</v>
      </c>
      <c r="H139" s="3">
        <f t="shared" si="16"/>
        <v>-9.8629530996027057</v>
      </c>
      <c r="I139" s="3">
        <f t="shared" si="18"/>
        <v>3.2307315718126142</v>
      </c>
      <c r="J139" s="3">
        <f t="shared" si="19"/>
        <v>-1.9725906199205412</v>
      </c>
    </row>
    <row r="140" spans="5:10" x14ac:dyDescent="0.35">
      <c r="E140" s="1">
        <f t="shared" si="14"/>
        <v>136</v>
      </c>
      <c r="F140" s="3">
        <f t="shared" si="17"/>
        <v>2.3736477827122884</v>
      </c>
      <c r="G140" s="3">
        <f t="shared" si="15"/>
        <v>3.2559453721772758</v>
      </c>
      <c r="H140" s="3">
        <f t="shared" si="16"/>
        <v>-10.04074923979768</v>
      </c>
      <c r="I140" s="3">
        <f t="shared" si="18"/>
        <v>3.2559453721772758</v>
      </c>
      <c r="J140" s="3">
        <f t="shared" si="19"/>
        <v>-2.0081498479595359</v>
      </c>
    </row>
    <row r="141" spans="5:10" x14ac:dyDescent="0.35">
      <c r="E141" s="1">
        <f t="shared" si="14"/>
        <v>137</v>
      </c>
      <c r="F141" s="3">
        <f t="shared" si="17"/>
        <v>2.3911010752322315</v>
      </c>
      <c r="G141" s="3">
        <f t="shared" si="15"/>
        <v>3.2801673800405209</v>
      </c>
      <c r="H141" s="3">
        <f t="shared" si="16"/>
        <v>-10.215486870507288</v>
      </c>
      <c r="I141" s="3">
        <f t="shared" si="18"/>
        <v>3.2801673800405209</v>
      </c>
      <c r="J141" s="3">
        <f t="shared" si="19"/>
        <v>-2.0430973741014578</v>
      </c>
    </row>
    <row r="142" spans="5:10" x14ac:dyDescent="0.35">
      <c r="E142" s="1">
        <f t="shared" si="14"/>
        <v>138</v>
      </c>
      <c r="F142" s="3">
        <f t="shared" si="17"/>
        <v>2.4085543677521746</v>
      </c>
      <c r="G142" s="3">
        <f t="shared" si="15"/>
        <v>3.3033902171441105</v>
      </c>
      <c r="H142" s="3">
        <f t="shared" si="16"/>
        <v>-10.387112764956495</v>
      </c>
      <c r="I142" s="3">
        <f t="shared" si="18"/>
        <v>3.3033902171441105</v>
      </c>
      <c r="J142" s="3">
        <f t="shared" si="19"/>
        <v>-2.0774225529912989</v>
      </c>
    </row>
    <row r="143" spans="5:10" x14ac:dyDescent="0.35">
      <c r="E143" s="1">
        <f t="shared" si="14"/>
        <v>139</v>
      </c>
      <c r="F143" s="3">
        <f t="shared" si="17"/>
        <v>2.4260076602721181</v>
      </c>
      <c r="G143" s="3">
        <f t="shared" si="15"/>
        <v>3.3256068095868994</v>
      </c>
      <c r="H143" s="3">
        <f t="shared" si="16"/>
        <v>-10.55557464423528</v>
      </c>
      <c r="I143" s="3">
        <f t="shared" si="18"/>
        <v>3.3256068095868994</v>
      </c>
      <c r="J143" s="3">
        <f t="shared" si="19"/>
        <v>-2.1111149288470563</v>
      </c>
    </row>
    <row r="144" spans="5:10" x14ac:dyDescent="0.35">
      <c r="E144" s="1">
        <f t="shared" si="14"/>
        <v>140</v>
      </c>
      <c r="F144" s="3">
        <f t="shared" si="17"/>
        <v>2.4434609527920612</v>
      </c>
      <c r="G144" s="3">
        <f t="shared" si="15"/>
        <v>3.3468103899796109</v>
      </c>
      <c r="H144" s="3">
        <f t="shared" si="16"/>
        <v>-10.720821193223278</v>
      </c>
      <c r="I144" s="3">
        <f t="shared" si="18"/>
        <v>3.3468103899796109</v>
      </c>
      <c r="J144" s="3">
        <f t="shared" si="19"/>
        <v>-2.144164238644656</v>
      </c>
    </row>
    <row r="145" spans="5:10" x14ac:dyDescent="0.35">
      <c r="E145" s="1">
        <f t="shared" si="14"/>
        <v>141</v>
      </c>
      <c r="F145" s="3">
        <f t="shared" si="17"/>
        <v>2.4609142453120048</v>
      </c>
      <c r="G145" s="3">
        <f t="shared" si="15"/>
        <v>3.3669944995062546</v>
      </c>
      <c r="H145" s="3">
        <f t="shared" si="16"/>
        <v>-10.882802076220898</v>
      </c>
      <c r="I145" s="3">
        <f t="shared" si="18"/>
        <v>3.3669944995062546</v>
      </c>
      <c r="J145" s="3">
        <f t="shared" si="19"/>
        <v>-2.1765604152441798</v>
      </c>
    </row>
    <row r="146" spans="5:10" x14ac:dyDescent="0.35">
      <c r="E146" s="1">
        <f t="shared" si="14"/>
        <v>142</v>
      </c>
      <c r="F146" s="3">
        <f t="shared" si="17"/>
        <v>2.4783675378319479</v>
      </c>
      <c r="G146" s="3">
        <f t="shared" si="15"/>
        <v>3.3861529898915408</v>
      </c>
      <c r="H146" s="3">
        <f t="shared" si="16"/>
        <v>-11.041467952282026</v>
      </c>
      <c r="I146" s="3">
        <f t="shared" si="18"/>
        <v>3.3861529898915408</v>
      </c>
      <c r="J146" s="3">
        <f t="shared" si="19"/>
        <v>-2.2082935904564054</v>
      </c>
    </row>
    <row r="147" spans="5:10" x14ac:dyDescent="0.35">
      <c r="E147" s="1">
        <f t="shared" si="14"/>
        <v>143</v>
      </c>
      <c r="F147" s="3">
        <f t="shared" si="17"/>
        <v>2.4958208303518914</v>
      </c>
      <c r="G147" s="3">
        <f t="shared" si="15"/>
        <v>3.4042800252737053</v>
      </c>
      <c r="H147" s="3">
        <f t="shared" si="16"/>
        <v>-11.196770490243793</v>
      </c>
      <c r="I147" s="3">
        <f t="shared" si="18"/>
        <v>3.4042800252737053</v>
      </c>
      <c r="J147" s="3">
        <f t="shared" si="19"/>
        <v>-2.2393540980487585</v>
      </c>
    </row>
    <row r="148" spans="5:10" x14ac:dyDescent="0.35">
      <c r="E148" s="1">
        <f t="shared" si="14"/>
        <v>144</v>
      </c>
      <c r="F148" s="3">
        <f t="shared" si="17"/>
        <v>2.5132741228718345</v>
      </c>
      <c r="G148" s="3">
        <f t="shared" si="15"/>
        <v>3.4213700839821697</v>
      </c>
      <c r="H148" s="3">
        <f t="shared" si="16"/>
        <v>-11.348662383448673</v>
      </c>
      <c r="I148" s="3">
        <f t="shared" si="18"/>
        <v>3.4213700839821697</v>
      </c>
      <c r="J148" s="3">
        <f t="shared" si="19"/>
        <v>-2.2697324766897347</v>
      </c>
    </row>
    <row r="149" spans="5:10" x14ac:dyDescent="0.35">
      <c r="E149" s="1">
        <f t="shared" si="14"/>
        <v>145</v>
      </c>
      <c r="F149" s="3">
        <f t="shared" si="17"/>
        <v>2.530727415391778</v>
      </c>
      <c r="G149" s="3">
        <f t="shared" si="15"/>
        <v>3.4374179602194981</v>
      </c>
      <c r="H149" s="3">
        <f t="shared" si="16"/>
        <v>-11.4970973641546</v>
      </c>
      <c r="I149" s="3">
        <f t="shared" si="18"/>
        <v>3.4374179602194981</v>
      </c>
      <c r="J149" s="3">
        <f t="shared" si="19"/>
        <v>-2.2994194728309201</v>
      </c>
    </row>
    <row r="150" spans="5:10" x14ac:dyDescent="0.35">
      <c r="E150" s="1">
        <f t="shared" si="14"/>
        <v>146</v>
      </c>
      <c r="F150" s="3">
        <f t="shared" si="17"/>
        <v>2.5481807079117211</v>
      </c>
      <c r="G150" s="3">
        <f t="shared" si="15"/>
        <v>3.4524187656471268</v>
      </c>
      <c r="H150" s="3">
        <f t="shared" si="16"/>
        <v>-11.642030217628518</v>
      </c>
      <c r="I150" s="3">
        <f t="shared" si="18"/>
        <v>3.4524187656471268</v>
      </c>
      <c r="J150" s="3">
        <f t="shared" si="19"/>
        <v>-2.3284060435257037</v>
      </c>
    </row>
    <row r="151" spans="5:10" x14ac:dyDescent="0.35">
      <c r="E151" s="1">
        <f t="shared" si="14"/>
        <v>147</v>
      </c>
      <c r="F151" s="3">
        <f t="shared" si="17"/>
        <v>2.5656340004316642</v>
      </c>
      <c r="G151" s="3">
        <f t="shared" si="15"/>
        <v>3.4663679308744086</v>
      </c>
      <c r="H151" s="3">
        <f t="shared" si="16"/>
        <v>-11.783416795919267</v>
      </c>
      <c r="I151" s="3">
        <f t="shared" si="18"/>
        <v>3.4663679308744086</v>
      </c>
      <c r="J151" s="3">
        <f t="shared" si="19"/>
        <v>-2.3566833591838536</v>
      </c>
    </row>
    <row r="152" spans="5:10" x14ac:dyDescent="0.35">
      <c r="E152" s="1">
        <f t="shared" si="14"/>
        <v>148</v>
      </c>
      <c r="F152" s="3">
        <f t="shared" si="17"/>
        <v>2.5830872929516078</v>
      </c>
      <c r="G152" s="3">
        <f t="shared" si="15"/>
        <v>3.4792612068504858</v>
      </c>
      <c r="H152" s="3">
        <f t="shared" si="16"/>
        <v>-11.92121403130546</v>
      </c>
      <c r="I152" s="3">
        <f t="shared" si="18"/>
        <v>3.4792612068504858</v>
      </c>
      <c r="J152" s="3">
        <f t="shared" si="19"/>
        <v>-2.3842428062610921</v>
      </c>
    </row>
    <row r="153" spans="5:10" x14ac:dyDescent="0.35">
      <c r="E153" s="1">
        <f t="shared" si="14"/>
        <v>149</v>
      </c>
      <c r="F153" s="3">
        <f t="shared" si="17"/>
        <v>2.6005405854715509</v>
      </c>
      <c r="G153" s="3">
        <f t="shared" si="15"/>
        <v>3.4910946661585962</v>
      </c>
      <c r="H153" s="3">
        <f t="shared" si="16"/>
        <v>-12.055379949414325</v>
      </c>
      <c r="I153" s="3">
        <f t="shared" si="18"/>
        <v>3.4910946661585962</v>
      </c>
      <c r="J153" s="3">
        <f t="shared" si="19"/>
        <v>-2.4110759898828653</v>
      </c>
    </row>
    <row r="154" spans="5:10" x14ac:dyDescent="0.35">
      <c r="E154" s="1">
        <f t="shared" si="14"/>
        <v>150</v>
      </c>
      <c r="F154" s="3">
        <f t="shared" si="17"/>
        <v>2.6179938779914944</v>
      </c>
      <c r="G154" s="3">
        <f t="shared" si="15"/>
        <v>3.5018647042124016</v>
      </c>
      <c r="H154" s="3">
        <f t="shared" si="16"/>
        <v>-12.185873682007509</v>
      </c>
      <c r="I154" s="3">
        <f t="shared" si="18"/>
        <v>3.5018647042124016</v>
      </c>
      <c r="J154" s="3">
        <f t="shared" si="19"/>
        <v>-2.4371747364015017</v>
      </c>
    </row>
    <row r="155" spans="5:10" x14ac:dyDescent="0.35">
      <c r="E155" s="1">
        <f t="shared" si="14"/>
        <v>151</v>
      </c>
      <c r="F155" s="3">
        <f t="shared" si="17"/>
        <v>2.6354471705114375</v>
      </c>
      <c r="G155" s="3">
        <f t="shared" si="15"/>
        <v>3.5115680403539784</v>
      </c>
      <c r="H155" s="3">
        <f t="shared" si="16"/>
        <v>-12.312655479429944</v>
      </c>
      <c r="I155" s="3">
        <f t="shared" si="18"/>
        <v>3.511568040353978</v>
      </c>
      <c r="J155" s="3">
        <f t="shared" si="19"/>
        <v>-2.4625310958859887</v>
      </c>
    </row>
    <row r="156" spans="5:10" x14ac:dyDescent="0.35">
      <c r="E156" s="1">
        <f t="shared" si="14"/>
        <v>152</v>
      </c>
      <c r="F156" s="3">
        <f t="shared" si="17"/>
        <v>2.6529004630313811</v>
      </c>
      <c r="G156" s="3">
        <f t="shared" si="15"/>
        <v>3.5202017188531394</v>
      </c>
      <c r="H156" s="3">
        <f t="shared" si="16"/>
        <v>-12.435686722717971</v>
      </c>
      <c r="I156" s="3">
        <f t="shared" si="18"/>
        <v>3.5202017188531394</v>
      </c>
      <c r="J156" s="3">
        <f t="shared" si="19"/>
        <v>-2.4871373445435943</v>
      </c>
    </row>
    <row r="157" spans="5:10" x14ac:dyDescent="0.35">
      <c r="E157" s="1">
        <f t="shared" si="14"/>
        <v>153</v>
      </c>
      <c r="F157" s="3">
        <f t="shared" si="17"/>
        <v>2.6703537555513241</v>
      </c>
      <c r="G157" s="3">
        <f t="shared" si="15"/>
        <v>3.5277631098077782</v>
      </c>
      <c r="H157" s="3">
        <f t="shared" si="16"/>
        <v>-12.554929935363056</v>
      </c>
      <c r="I157" s="3">
        <f t="shared" si="18"/>
        <v>3.5277631098077782</v>
      </c>
      <c r="J157" s="3">
        <f t="shared" si="19"/>
        <v>-2.510985987072611</v>
      </c>
    </row>
    <row r="158" spans="5:10" x14ac:dyDescent="0.35">
      <c r="E158" s="1">
        <f t="shared" si="14"/>
        <v>154</v>
      </c>
      <c r="F158" s="3">
        <f t="shared" si="17"/>
        <v>2.6878070480712677</v>
      </c>
      <c r="G158" s="3">
        <f t="shared" si="15"/>
        <v>3.534249909944962</v>
      </c>
      <c r="H158" s="3">
        <f t="shared" si="16"/>
        <v>-12.670348794727497</v>
      </c>
      <c r="I158" s="3">
        <f t="shared" si="18"/>
        <v>3.534249909944962</v>
      </c>
      <c r="J158" s="3">
        <f t="shared" si="19"/>
        <v>-2.5340697589454995</v>
      </c>
    </row>
    <row r="159" spans="5:10" x14ac:dyDescent="0.35">
      <c r="E159" s="1">
        <f t="shared" si="14"/>
        <v>155</v>
      </c>
      <c r="F159" s="3">
        <f t="shared" si="17"/>
        <v>2.7052603405912108</v>
      </c>
      <c r="G159" s="3">
        <f t="shared" si="15"/>
        <v>3.5396601433225281</v>
      </c>
      <c r="H159" s="3">
        <f t="shared" si="16"/>
        <v>-12.781908143108634</v>
      </c>
      <c r="I159" s="3">
        <f t="shared" si="18"/>
        <v>3.5396601433225281</v>
      </c>
      <c r="J159" s="3">
        <f t="shared" si="19"/>
        <v>-2.5563816286217267</v>
      </c>
    </row>
    <row r="160" spans="5:10" x14ac:dyDescent="0.35">
      <c r="E160" s="1">
        <f t="shared" si="14"/>
        <v>156</v>
      </c>
      <c r="F160" s="3">
        <f t="shared" si="17"/>
        <v>2.7227136331111539</v>
      </c>
      <c r="G160" s="3">
        <f t="shared" si="15"/>
        <v>3.54399216193098</v>
      </c>
      <c r="H160" s="3">
        <f t="shared" si="16"/>
        <v>-12.889573998448256</v>
      </c>
      <c r="I160" s="3">
        <f t="shared" si="18"/>
        <v>3.54399216193098</v>
      </c>
      <c r="J160" s="3">
        <f t="shared" si="19"/>
        <v>-2.5779147996896512</v>
      </c>
    </row>
    <row r="161" spans="5:10" x14ac:dyDescent="0.35">
      <c r="E161" s="1">
        <f t="shared" si="14"/>
        <v>157</v>
      </c>
      <c r="F161" s="3">
        <f t="shared" si="17"/>
        <v>2.7401669256310974</v>
      </c>
      <c r="G161" s="3">
        <f t="shared" si="15"/>
        <v>3.5472446461954861</v>
      </c>
      <c r="H161" s="3">
        <f t="shared" si="16"/>
        <v>-12.993313564683849</v>
      </c>
      <c r="I161" s="3">
        <f t="shared" si="18"/>
        <v>3.5472446461954861</v>
      </c>
      <c r="J161" s="3">
        <f t="shared" si="19"/>
        <v>-2.5986627129367696</v>
      </c>
    </row>
    <row r="162" spans="5:10" x14ac:dyDescent="0.35">
      <c r="E162" s="1">
        <f t="shared" si="14"/>
        <v>158</v>
      </c>
      <c r="F162" s="3">
        <f t="shared" si="17"/>
        <v>2.7576202181510405</v>
      </c>
      <c r="G162" s="3">
        <f t="shared" si="15"/>
        <v>3.5494166053778295</v>
      </c>
      <c r="H162" s="3">
        <f t="shared" si="16"/>
        <v>-13.093095241738578</v>
      </c>
      <c r="I162" s="3">
        <f t="shared" si="18"/>
        <v>3.5494166053778295</v>
      </c>
      <c r="J162" s="3">
        <f t="shared" si="19"/>
        <v>-2.6186190483477154</v>
      </c>
    </row>
    <row r="163" spans="5:10" x14ac:dyDescent="0.35">
      <c r="E163" s="1">
        <f t="shared" si="14"/>
        <v>159</v>
      </c>
      <c r="F163" s="3">
        <f t="shared" si="17"/>
        <v>2.7750735106709841</v>
      </c>
      <c r="G163" s="3">
        <f t="shared" si="15"/>
        <v>3.5505073778782039</v>
      </c>
      <c r="H163" s="3">
        <f t="shared" si="16"/>
        <v>-13.188888635147014</v>
      </c>
      <c r="I163" s="3">
        <f t="shared" si="18"/>
        <v>3.5505073778782039</v>
      </c>
      <c r="J163" s="3">
        <f t="shared" si="19"/>
        <v>-2.6377777270294027</v>
      </c>
    </row>
    <row r="164" spans="5:10" x14ac:dyDescent="0.35">
      <c r="E164" s="1">
        <f t="shared" si="14"/>
        <v>160</v>
      </c>
      <c r="F164" s="3">
        <f t="shared" si="17"/>
        <v>2.7925268031909272</v>
      </c>
      <c r="G164" s="3">
        <f t="shared" si="15"/>
        <v>3.5505166314367402</v>
      </c>
      <c r="H164" s="3">
        <f t="shared" si="16"/>
        <v>-13.280664565313552</v>
      </c>
      <c r="I164" s="3">
        <f t="shared" si="18"/>
        <v>3.5505166314367402</v>
      </c>
      <c r="J164" s="3">
        <f t="shared" si="19"/>
        <v>-2.6561329130627107</v>
      </c>
    </row>
    <row r="165" spans="5:10" x14ac:dyDescent="0.35">
      <c r="E165" s="1">
        <f t="shared" si="14"/>
        <v>161</v>
      </c>
      <c r="F165" s="3">
        <f t="shared" si="17"/>
        <v>2.8099800957108707</v>
      </c>
      <c r="G165" s="3">
        <f t="shared" si="15"/>
        <v>3.5494443632347132</v>
      </c>
      <c r="H165" s="3">
        <f t="shared" si="16"/>
        <v>-13.368395076400809</v>
      </c>
      <c r="I165" s="3">
        <f t="shared" si="18"/>
        <v>3.5494443632347132</v>
      </c>
      <c r="J165" s="3">
        <f t="shared" si="19"/>
        <v>-2.6736790152801619</v>
      </c>
    </row>
    <row r="166" spans="5:10" x14ac:dyDescent="0.35">
      <c r="E166" s="1">
        <f t="shared" si="14"/>
        <v>162</v>
      </c>
      <c r="F166" s="3">
        <f t="shared" si="17"/>
        <v>2.8274333882308138</v>
      </c>
      <c r="G166" s="3">
        <f t="shared" si="15"/>
        <v>3.5472908998954056</v>
      </c>
      <c r="H166" s="3">
        <f t="shared" si="16"/>
        <v>-13.452053444845243</v>
      </c>
      <c r="I166" s="3">
        <f t="shared" si="18"/>
        <v>3.5472908998954056</v>
      </c>
      <c r="J166" s="3">
        <f t="shared" si="19"/>
        <v>-2.6904106889690489</v>
      </c>
    </row>
    <row r="167" spans="5:10" x14ac:dyDescent="0.35">
      <c r="E167" s="1">
        <f t="shared" si="14"/>
        <v>163</v>
      </c>
      <c r="F167" s="3">
        <f t="shared" si="17"/>
        <v>2.8448866807507573</v>
      </c>
      <c r="G167" s="3">
        <f t="shared" si="15"/>
        <v>3.5440568973846109</v>
      </c>
      <c r="H167" s="3">
        <f t="shared" si="16"/>
        <v>-13.531614187497409</v>
      </c>
      <c r="I167" s="3">
        <f t="shared" si="18"/>
        <v>3.5440568973846109</v>
      </c>
      <c r="J167" s="3">
        <f t="shared" si="19"/>
        <v>-2.7063228374994819</v>
      </c>
    </row>
    <row r="168" spans="5:10" x14ac:dyDescent="0.35">
      <c r="E168" s="1">
        <f t="shared" si="14"/>
        <v>164</v>
      </c>
      <c r="F168" s="3">
        <f t="shared" si="17"/>
        <v>2.8623399732707004</v>
      </c>
      <c r="G168" s="3">
        <f t="shared" si="15"/>
        <v>3.5397433408108236</v>
      </c>
      <c r="H168" s="3">
        <f t="shared" si="16"/>
        <v>-13.607053069384373</v>
      </c>
      <c r="I168" s="3">
        <f t="shared" si="18"/>
        <v>3.5397433408108236</v>
      </c>
      <c r="J168" s="3">
        <f t="shared" si="19"/>
        <v>-2.7214106138768743</v>
      </c>
    </row>
    <row r="169" spans="5:10" x14ac:dyDescent="0.35">
      <c r="E169" s="1">
        <f t="shared" si="14"/>
        <v>165</v>
      </c>
      <c r="F169" s="3">
        <f t="shared" si="17"/>
        <v>2.8797932657906435</v>
      </c>
      <c r="G169" s="3">
        <f t="shared" si="15"/>
        <v>3.5343515441251609</v>
      </c>
      <c r="H169" s="3">
        <f t="shared" si="16"/>
        <v>-13.678347111091918</v>
      </c>
      <c r="I169" s="3">
        <f t="shared" si="18"/>
        <v>3.5343515441251609</v>
      </c>
      <c r="J169" s="3">
        <f t="shared" si="19"/>
        <v>-2.7356694222183835</v>
      </c>
    </row>
    <row r="170" spans="5:10" x14ac:dyDescent="0.35">
      <c r="E170" s="1">
        <f t="shared" si="14"/>
        <v>166</v>
      </c>
      <c r="F170" s="3">
        <f t="shared" si="17"/>
        <v>2.8972465583105871</v>
      </c>
      <c r="G170" s="3">
        <f t="shared" si="15"/>
        <v>3.5278831497211254</v>
      </c>
      <c r="H170" s="3">
        <f t="shared" si="16"/>
        <v>-13.745474595764303</v>
      </c>
      <c r="I170" s="3">
        <f t="shared" si="18"/>
        <v>3.5278831497211254</v>
      </c>
      <c r="J170" s="3">
        <f t="shared" si="19"/>
        <v>-2.7490949191528604</v>
      </c>
    </row>
    <row r="171" spans="5:10" x14ac:dyDescent="0.35">
      <c r="E171" s="1">
        <f t="shared" si="14"/>
        <v>167</v>
      </c>
      <c r="F171" s="3">
        <f t="shared" si="17"/>
        <v>2.9146998508305302</v>
      </c>
      <c r="G171" s="3">
        <f t="shared" si="15"/>
        <v>3.5203401279343138</v>
      </c>
      <c r="H171" s="3">
        <f t="shared" si="16"/>
        <v>-13.808415075719415</v>
      </c>
      <c r="I171" s="3">
        <f t="shared" si="18"/>
        <v>3.5203401279343138</v>
      </c>
      <c r="J171" s="3">
        <f t="shared" si="19"/>
        <v>-2.7616830151438831</v>
      </c>
    </row>
    <row r="172" spans="5:10" x14ac:dyDescent="0.35">
      <c r="E172" s="1">
        <f t="shared" si="14"/>
        <v>168</v>
      </c>
      <c r="F172" s="3">
        <f t="shared" si="17"/>
        <v>2.9321531433504737</v>
      </c>
      <c r="G172" s="3">
        <f t="shared" si="15"/>
        <v>3.5117247764422324</v>
      </c>
      <c r="H172" s="3">
        <f t="shared" si="16"/>
        <v>-13.867149378677345</v>
      </c>
      <c r="I172" s="3">
        <f t="shared" si="18"/>
        <v>3.5117247764422324</v>
      </c>
      <c r="J172" s="3">
        <f t="shared" si="19"/>
        <v>-2.7734298757354687</v>
      </c>
    </row>
    <row r="173" spans="5:10" x14ac:dyDescent="0.35">
      <c r="E173" s="1">
        <f t="shared" si="14"/>
        <v>169</v>
      </c>
      <c r="F173" s="3">
        <f t="shared" si="17"/>
        <v>2.9496064358704168</v>
      </c>
      <c r="G173" s="3">
        <f t="shared" si="15"/>
        <v>3.5020397195644057</v>
      </c>
      <c r="H173" s="3">
        <f t="shared" si="16"/>
        <v>-13.921659613600433</v>
      </c>
      <c r="I173" s="3">
        <f t="shared" si="18"/>
        <v>3.5020397195644057</v>
      </c>
      <c r="J173" s="3">
        <f t="shared" si="19"/>
        <v>-2.7843319227200864</v>
      </c>
    </row>
    <row r="174" spans="5:10" x14ac:dyDescent="0.35">
      <c r="E174" s="1">
        <f t="shared" si="14"/>
        <v>170</v>
      </c>
      <c r="F174" s="3">
        <f t="shared" si="17"/>
        <v>2.9670597283903604</v>
      </c>
      <c r="G174" s="3">
        <f t="shared" si="15"/>
        <v>3.4912879074629779</v>
      </c>
      <c r="H174" s="3">
        <f t="shared" si="16"/>
        <v>-13.971929176143076</v>
      </c>
      <c r="I174" s="3">
        <f t="shared" si="18"/>
        <v>3.4912879074629779</v>
      </c>
      <c r="J174" s="3">
        <f t="shared" si="19"/>
        <v>-2.7943858352286153</v>
      </c>
    </row>
    <row r="175" spans="5:10" x14ac:dyDescent="0.35">
      <c r="E175" s="1">
        <f t="shared" si="14"/>
        <v>171</v>
      </c>
      <c r="F175" s="3">
        <f t="shared" si="17"/>
        <v>2.9845130209103035</v>
      </c>
      <c r="G175" s="3">
        <f t="shared" si="15"/>
        <v>3.4794726152440725</v>
      </c>
      <c r="H175" s="3">
        <f t="shared" si="16"/>
        <v>-14.017942753709546</v>
      </c>
      <c r="I175" s="3">
        <f t="shared" si="18"/>
        <v>3.4794726152440725</v>
      </c>
      <c r="J175" s="3">
        <f t="shared" si="19"/>
        <v>-2.8035885507419089</v>
      </c>
    </row>
    <row r="176" spans="5:10" x14ac:dyDescent="0.35">
      <c r="E176" s="1">
        <f t="shared" si="14"/>
        <v>172</v>
      </c>
      <c r="F176" s="3">
        <f t="shared" si="17"/>
        <v>3.001966313430247</v>
      </c>
      <c r="G176" s="3">
        <f t="shared" si="15"/>
        <v>3.4665974419601557</v>
      </c>
      <c r="H176" s="3">
        <f t="shared" si="16"/>
        <v>-14.059686330118382</v>
      </c>
      <c r="I176" s="3">
        <f t="shared" si="18"/>
        <v>3.4665974419601557</v>
      </c>
      <c r="J176" s="3">
        <f t="shared" si="19"/>
        <v>-2.8119372660236763</v>
      </c>
    </row>
    <row r="177" spans="5:10" x14ac:dyDescent="0.35">
      <c r="E177" s="1">
        <f t="shared" si="14"/>
        <v>173</v>
      </c>
      <c r="F177" s="3">
        <f t="shared" si="17"/>
        <v>3.0194196059501901</v>
      </c>
      <c r="G177" s="3">
        <f t="shared" si="15"/>
        <v>3.452666309513734</v>
      </c>
      <c r="H177" s="3">
        <f t="shared" si="16"/>
        <v>-14.097147189871817</v>
      </c>
      <c r="I177" s="3">
        <f t="shared" si="18"/>
        <v>3.452666309513734</v>
      </c>
      <c r="J177" s="3">
        <f t="shared" si="19"/>
        <v>-2.8194294379743634</v>
      </c>
    </row>
    <row r="178" spans="5:10" x14ac:dyDescent="0.35">
      <c r="E178" s="1">
        <f t="shared" si="14"/>
        <v>174</v>
      </c>
      <c r="F178" s="3">
        <f t="shared" si="17"/>
        <v>3.0368728984701332</v>
      </c>
      <c r="G178" s="3">
        <f t="shared" si="15"/>
        <v>3.4376834614627048</v>
      </c>
      <c r="H178" s="3">
        <f t="shared" si="16"/>
        <v>-14.130313922029089</v>
      </c>
      <c r="I178" s="3">
        <f t="shared" si="18"/>
        <v>3.4376834614627048</v>
      </c>
      <c r="J178" s="3">
        <f t="shared" si="19"/>
        <v>-2.8260627844058179</v>
      </c>
    </row>
    <row r="179" spans="5:10" x14ac:dyDescent="0.35">
      <c r="E179" s="1">
        <f t="shared" si="14"/>
        <v>175</v>
      </c>
      <c r="F179" s="3">
        <f t="shared" si="17"/>
        <v>3.0543261909900767</v>
      </c>
      <c r="G179" s="3">
        <f t="shared" si="15"/>
        <v>3.4216534617277268</v>
      </c>
      <c r="H179" s="3">
        <f t="shared" si="16"/>
        <v>-14.159176423682286</v>
      </c>
      <c r="I179" s="3">
        <f t="shared" si="18"/>
        <v>3.4216534617277268</v>
      </c>
      <c r="J179" s="3">
        <f t="shared" si="19"/>
        <v>-2.831835284736457</v>
      </c>
    </row>
    <row r="180" spans="5:10" x14ac:dyDescent="0.35">
      <c r="E180" s="1">
        <f t="shared" si="14"/>
        <v>176</v>
      </c>
      <c r="F180" s="3">
        <f t="shared" si="17"/>
        <v>3.0717794835100198</v>
      </c>
      <c r="G180" s="3">
        <f t="shared" si="15"/>
        <v>3.4045811932020054</v>
      </c>
      <c r="H180" s="3">
        <f t="shared" si="16"/>
        <v>-14.183725903033809</v>
      </c>
      <c r="I180" s="3">
        <f t="shared" si="18"/>
        <v>3.4045811932020054</v>
      </c>
      <c r="J180" s="3">
        <f t="shared" si="19"/>
        <v>-2.8367451806067616</v>
      </c>
    </row>
    <row r="181" spans="5:10" x14ac:dyDescent="0.35">
      <c r="E181" s="1">
        <f t="shared" si="14"/>
        <v>177</v>
      </c>
      <c r="F181" s="3">
        <f t="shared" si="17"/>
        <v>3.0892327760299634</v>
      </c>
      <c r="G181" s="3">
        <f t="shared" si="15"/>
        <v>3.3864718562639151</v>
      </c>
      <c r="H181" s="3">
        <f t="shared" si="16"/>
        <v>-14.203954882074427</v>
      </c>
      <c r="I181" s="3">
        <f t="shared" si="18"/>
        <v>3.3864718562639151</v>
      </c>
      <c r="J181" s="3">
        <f t="shared" si="19"/>
        <v>-2.8407909764148855</v>
      </c>
    </row>
    <row r="182" spans="5:10" x14ac:dyDescent="0.35">
      <c r="E182" s="1">
        <f t="shared" si="14"/>
        <v>178</v>
      </c>
      <c r="F182" s="3">
        <f t="shared" si="17"/>
        <v>3.1066860685499065</v>
      </c>
      <c r="G182" s="3">
        <f t="shared" si="15"/>
        <v>3.3673309671929186</v>
      </c>
      <c r="H182" s="3">
        <f t="shared" si="16"/>
        <v>-14.219857198861165</v>
      </c>
      <c r="I182" s="3">
        <f t="shared" si="18"/>
        <v>3.3673309671929186</v>
      </c>
      <c r="J182" s="3">
        <f t="shared" si="19"/>
        <v>-2.8439714397722331</v>
      </c>
    </row>
    <row r="183" spans="5:10" x14ac:dyDescent="0.35">
      <c r="E183" s="1">
        <f t="shared" si="14"/>
        <v>179</v>
      </c>
      <c r="F183" s="3">
        <f t="shared" si="17"/>
        <v>3.12413936106985</v>
      </c>
      <c r="G183" s="3">
        <f t="shared" si="15"/>
        <v>3.3471643564892464</v>
      </c>
      <c r="H183" s="3">
        <f t="shared" si="16"/>
        <v>-14.231428009394282</v>
      </c>
      <c r="I183" s="3">
        <f t="shared" si="18"/>
        <v>3.3471643564892464</v>
      </c>
      <c r="J183" s="3">
        <f t="shared" si="19"/>
        <v>-2.8462856018788565</v>
      </c>
    </row>
    <row r="184" spans="5:10" x14ac:dyDescent="0.35">
      <c r="E184" s="1">
        <f t="shared" si="14"/>
        <v>180</v>
      </c>
      <c r="F184" s="3">
        <f t="shared" si="17"/>
        <v>3.1415926535897931</v>
      </c>
      <c r="G184" s="3">
        <f t="shared" si="15"/>
        <v>3.3259781670978792</v>
      </c>
      <c r="H184" s="3">
        <f t="shared" si="16"/>
        <v>-14.238663789092797</v>
      </c>
      <c r="I184" s="3">
        <f t="shared" si="18"/>
        <v>3.3259781670978792</v>
      </c>
      <c r="J184" s="3">
        <f t="shared" si="19"/>
        <v>-2.8477327578185596</v>
      </c>
    </row>
    <row r="185" spans="5:10" x14ac:dyDescent="0.35">
      <c r="E185" s="1">
        <f t="shared" si="14"/>
        <v>181</v>
      </c>
      <c r="F185" s="3">
        <f t="shared" si="17"/>
        <v>3.1590459461097367</v>
      </c>
      <c r="G185" s="3">
        <f t="shared" si="15"/>
        <v>3.3037788525373393</v>
      </c>
      <c r="H185" s="3">
        <f t="shared" si="16"/>
        <v>-14.241562333868121</v>
      </c>
      <c r="I185" s="3">
        <f t="shared" si="18"/>
        <v>3.3037788525373393</v>
      </c>
      <c r="J185" s="3">
        <f t="shared" si="19"/>
        <v>-2.8483124667736242</v>
      </c>
    </row>
    <row r="186" spans="5:10" x14ac:dyDescent="0.35">
      <c r="E186" s="1">
        <f t="shared" si="14"/>
        <v>182</v>
      </c>
      <c r="F186" s="3">
        <f t="shared" si="17"/>
        <v>3.1764992386296798</v>
      </c>
      <c r="G186" s="3">
        <f t="shared" si="15"/>
        <v>3.2805731749338931</v>
      </c>
      <c r="H186" s="3">
        <f t="shared" si="16"/>
        <v>-14.240122760795437</v>
      </c>
      <c r="I186" s="3">
        <f t="shared" si="18"/>
        <v>3.2805731749338931</v>
      </c>
      <c r="J186" s="3">
        <f t="shared" si="19"/>
        <v>-2.8480245521590875</v>
      </c>
    </row>
    <row r="187" spans="5:10" x14ac:dyDescent="0.35">
      <c r="E187" s="1">
        <f t="shared" si="14"/>
        <v>183</v>
      </c>
      <c r="F187" s="3">
        <f t="shared" si="17"/>
        <v>3.1939525311496229</v>
      </c>
      <c r="G187" s="3">
        <f t="shared" si="15"/>
        <v>3.2563682029617356</v>
      </c>
      <c r="H187" s="3">
        <f t="shared" si="16"/>
        <v>-14.234345508382649</v>
      </c>
      <c r="I187" s="3">
        <f t="shared" si="18"/>
        <v>3.2563682029617356</v>
      </c>
      <c r="J187" s="3">
        <f t="shared" si="19"/>
        <v>-2.8468691016765297</v>
      </c>
    </row>
    <row r="188" spans="5:10" x14ac:dyDescent="0.35">
      <c r="E188" s="1">
        <f t="shared" si="14"/>
        <v>184</v>
      </c>
      <c r="F188" s="3">
        <f t="shared" si="17"/>
        <v>3.2114058236695664</v>
      </c>
      <c r="G188" s="3">
        <f t="shared" si="15"/>
        <v>3.2311713096898087</v>
      </c>
      <c r="H188" s="3">
        <f t="shared" si="16"/>
        <v>-14.224232336436804</v>
      </c>
      <c r="I188" s="3">
        <f t="shared" si="18"/>
        <v>3.2311713096898087</v>
      </c>
      <c r="J188" s="3">
        <f t="shared" si="19"/>
        <v>-2.8448464672873608</v>
      </c>
    </row>
    <row r="189" spans="5:10" x14ac:dyDescent="0.35">
      <c r="E189" s="1">
        <f t="shared" si="14"/>
        <v>185</v>
      </c>
      <c r="F189" s="3">
        <f t="shared" si="17"/>
        <v>3.2288591161895095</v>
      </c>
      <c r="G189" s="3">
        <f t="shared" si="15"/>
        <v>3.2049901703358912</v>
      </c>
      <c r="H189" s="3">
        <f t="shared" si="16"/>
        <v>-14.20978632552805</v>
      </c>
      <c r="I189" s="3">
        <f t="shared" si="18"/>
        <v>3.2049901703358912</v>
      </c>
      <c r="J189" s="3">
        <f t="shared" si="19"/>
        <v>-2.8419572651056102</v>
      </c>
    </row>
    <row r="190" spans="5:10" x14ac:dyDescent="0.35">
      <c r="E190" s="1">
        <f t="shared" si="14"/>
        <v>186</v>
      </c>
      <c r="F190" s="3">
        <f t="shared" si="17"/>
        <v>3.246312408709453</v>
      </c>
      <c r="G190" s="3">
        <f t="shared" si="15"/>
        <v>3.1778327599286516</v>
      </c>
      <c r="H190" s="3">
        <f t="shared" si="16"/>
        <v>-14.191011876051249</v>
      </c>
      <c r="I190" s="3">
        <f t="shared" si="18"/>
        <v>3.1778327599286516</v>
      </c>
      <c r="J190" s="3">
        <f t="shared" si="19"/>
        <v>-2.8382023752102499</v>
      </c>
    </row>
    <row r="191" spans="5:10" x14ac:dyDescent="0.35">
      <c r="E191" s="1">
        <f t="shared" si="14"/>
        <v>187</v>
      </c>
      <c r="F191" s="3">
        <f t="shared" si="17"/>
        <v>3.2637657012293961</v>
      </c>
      <c r="G191" s="3">
        <f t="shared" si="15"/>
        <v>3.1497073508783822</v>
      </c>
      <c r="H191" s="3">
        <f t="shared" si="16"/>
        <v>-14.167914706885583</v>
      </c>
      <c r="I191" s="3">
        <f t="shared" si="18"/>
        <v>3.1497073508783826</v>
      </c>
      <c r="J191" s="3">
        <f t="shared" si="19"/>
        <v>-2.8335829413771165</v>
      </c>
    </row>
    <row r="192" spans="5:10" x14ac:dyDescent="0.35">
      <c r="E192" s="1">
        <f t="shared" si="14"/>
        <v>188</v>
      </c>
      <c r="F192" s="3">
        <f t="shared" si="17"/>
        <v>3.2812189937493397</v>
      </c>
      <c r="G192" s="3">
        <f t="shared" si="15"/>
        <v>3.1206225104571335</v>
      </c>
      <c r="H192" s="3">
        <f t="shared" si="16"/>
        <v>-14.140501853652529</v>
      </c>
      <c r="I192" s="3">
        <f t="shared" si="18"/>
        <v>3.1206225104571335</v>
      </c>
      <c r="J192" s="3">
        <f t="shared" si="19"/>
        <v>-2.8281003707305059</v>
      </c>
    </row>
    <row r="193" spans="5:10" x14ac:dyDescent="0.35">
      <c r="E193" s="1">
        <f t="shared" ref="E193:E256" si="20">E192+1</f>
        <v>189</v>
      </c>
      <c r="F193" s="3">
        <f t="shared" si="17"/>
        <v>3.2986722862692828</v>
      </c>
      <c r="G193" s="3">
        <f t="shared" si="15"/>
        <v>3.0905870981890513</v>
      </c>
      <c r="H193" s="3">
        <f t="shared" si="16"/>
        <v>-14.108781666572732</v>
      </c>
      <c r="I193" s="3">
        <f t="shared" si="18"/>
        <v>3.0905870981890513</v>
      </c>
      <c r="J193" s="3">
        <f t="shared" si="19"/>
        <v>-2.8217563333145463</v>
      </c>
    </row>
    <row r="194" spans="5:10" x14ac:dyDescent="0.35">
      <c r="E194" s="1">
        <f t="shared" si="20"/>
        <v>190</v>
      </c>
      <c r="F194" s="3">
        <f t="shared" si="17"/>
        <v>3.3161255787892263</v>
      </c>
      <c r="G194" s="3">
        <f t="shared" si="15"/>
        <v>3.0596102631516704</v>
      </c>
      <c r="H194" s="3">
        <f t="shared" si="16"/>
        <v>-14.072763807922462</v>
      </c>
      <c r="I194" s="3">
        <f t="shared" si="18"/>
        <v>3.0596102631516704</v>
      </c>
      <c r="J194" s="3">
        <f t="shared" si="19"/>
        <v>-2.8145527615844923</v>
      </c>
    </row>
    <row r="195" spans="5:10" x14ac:dyDescent="0.35">
      <c r="E195" s="1">
        <f t="shared" si="20"/>
        <v>191</v>
      </c>
      <c r="F195" s="3">
        <f t="shared" si="17"/>
        <v>3.3335788713091694</v>
      </c>
      <c r="G195" s="3">
        <f t="shared" si="15"/>
        <v>3.0277014411890244</v>
      </c>
      <c r="H195" s="3">
        <f t="shared" si="16"/>
        <v>-14.032459249090374</v>
      </c>
      <c r="I195" s="3">
        <f t="shared" si="18"/>
        <v>3.0277014411890244</v>
      </c>
      <c r="J195" s="3">
        <f t="shared" si="19"/>
        <v>-2.8064918498180749</v>
      </c>
    </row>
    <row r="196" spans="5:10" x14ac:dyDescent="0.35">
      <c r="E196" s="1">
        <f t="shared" si="20"/>
        <v>192</v>
      </c>
      <c r="F196" s="3">
        <f t="shared" si="17"/>
        <v>3.351032163829113</v>
      </c>
      <c r="G196" s="3">
        <f t="shared" ref="G196:G259" si="21">$C$29*SIN(F196)*COS($C$24)-$C$28*COS(F196)*SIN($C$24)</f>
        <v>2.9948703520373887</v>
      </c>
      <c r="H196" s="3">
        <f t="shared" ref="H196:H259" si="22">$C$29*SIN(F196)*SIN($C$24)+$C$28*COS(F196)*COS($C$24)</f>
        <v>-13.987880267235528</v>
      </c>
      <c r="I196" s="3">
        <f t="shared" si="18"/>
        <v>2.9948703520373887</v>
      </c>
      <c r="J196" s="3">
        <f t="shared" si="19"/>
        <v>-2.7975760534471057</v>
      </c>
    </row>
    <row r="197" spans="5:10" x14ac:dyDescent="0.35">
      <c r="E197" s="1">
        <f t="shared" si="20"/>
        <v>193</v>
      </c>
      <c r="F197" s="3">
        <f t="shared" ref="F197:F260" si="23">RADIANS(E197)</f>
        <v>3.3684854563490561</v>
      </c>
      <c r="G197" s="3">
        <f t="shared" si="21"/>
        <v>2.9611269963645634</v>
      </c>
      <c r="H197" s="3">
        <f t="shared" si="22"/>
        <v>-13.939040441547647</v>
      </c>
      <c r="I197" s="3">
        <f t="shared" ref="I197:I260" si="24">G197*1000/($C$5*$C$3^3)</f>
        <v>2.9611269963645634</v>
      </c>
      <c r="J197" s="3">
        <f t="shared" ref="J197:J260" si="25">H197*1000/($C$5*$C$3^4)</f>
        <v>-2.7878080883095291</v>
      </c>
    </row>
    <row r="198" spans="5:10" x14ac:dyDescent="0.35">
      <c r="E198" s="1">
        <f t="shared" si="20"/>
        <v>194</v>
      </c>
      <c r="F198" s="3">
        <f t="shared" si="23"/>
        <v>3.3859387488689991</v>
      </c>
      <c r="G198" s="3">
        <f t="shared" si="21"/>
        <v>2.9264816527235631</v>
      </c>
      <c r="H198" s="3">
        <f t="shared" si="22"/>
        <v>-13.885954649110751</v>
      </c>
      <c r="I198" s="3">
        <f t="shared" si="24"/>
        <v>2.9264816527235631</v>
      </c>
      <c r="J198" s="3">
        <f t="shared" si="25"/>
        <v>-2.77719092982215</v>
      </c>
    </row>
    <row r="199" spans="5:10" x14ac:dyDescent="0.35">
      <c r="E199" s="1">
        <f t="shared" si="20"/>
        <v>195</v>
      </c>
      <c r="F199" s="3">
        <f t="shared" si="23"/>
        <v>3.4033920413889427</v>
      </c>
      <c r="G199" s="3">
        <f t="shared" si="21"/>
        <v>2.8909448744216792</v>
      </c>
      <c r="H199" s="3">
        <f t="shared" si="22"/>
        <v>-13.828639060371472</v>
      </c>
      <c r="I199" s="3">
        <f t="shared" si="24"/>
        <v>2.8909448744216792</v>
      </c>
      <c r="J199" s="3">
        <f t="shared" si="25"/>
        <v>-2.7657278120742945</v>
      </c>
    </row>
    <row r="200" spans="5:10" x14ac:dyDescent="0.35">
      <c r="E200" s="1">
        <f t="shared" si="20"/>
        <v>196</v>
      </c>
      <c r="F200" s="3">
        <f t="shared" si="23"/>
        <v>3.4208453339088858</v>
      </c>
      <c r="G200" s="3">
        <f t="shared" si="21"/>
        <v>2.8545274863058343</v>
      </c>
      <c r="H200" s="3">
        <f t="shared" si="22"/>
        <v>-13.767111134213371</v>
      </c>
      <c r="I200" s="3">
        <f t="shared" si="24"/>
        <v>2.8545274863058343</v>
      </c>
      <c r="J200" s="3">
        <f t="shared" si="25"/>
        <v>-2.7534222268426745</v>
      </c>
    </row>
    <row r="201" spans="5:10" x14ac:dyDescent="0.35">
      <c r="E201" s="1">
        <f t="shared" si="20"/>
        <v>197</v>
      </c>
      <c r="F201" s="3">
        <f t="shared" si="23"/>
        <v>3.4382986264288293</v>
      </c>
      <c r="G201" s="3">
        <f t="shared" si="21"/>
        <v>2.8172405814652315</v>
      </c>
      <c r="H201" s="3">
        <f t="shared" si="22"/>
        <v>-13.701389612638785</v>
      </c>
      <c r="I201" s="3">
        <f t="shared" si="24"/>
        <v>2.8172405814652315</v>
      </c>
      <c r="J201" s="3">
        <f t="shared" si="25"/>
        <v>-2.7402779225277567</v>
      </c>
    </row>
    <row r="202" spans="5:10" x14ac:dyDescent="0.35">
      <c r="E202" s="1">
        <f t="shared" si="20"/>
        <v>198</v>
      </c>
      <c r="F202" s="3">
        <f t="shared" si="23"/>
        <v>3.4557519189487724</v>
      </c>
      <c r="G202" s="3">
        <f t="shared" si="21"/>
        <v>2.7790955178522934</v>
      </c>
      <c r="H202" s="3">
        <f t="shared" si="22"/>
        <v>-13.631494515059853</v>
      </c>
      <c r="I202" s="3">
        <f t="shared" si="24"/>
        <v>2.7790955178522934</v>
      </c>
      <c r="J202" s="3">
        <f t="shared" si="25"/>
        <v>-2.7262989030119704</v>
      </c>
    </row>
    <row r="203" spans="5:10" x14ac:dyDescent="0.35">
      <c r="E203" s="1">
        <f t="shared" si="20"/>
        <v>199</v>
      </c>
      <c r="F203" s="3">
        <f t="shared" si="23"/>
        <v>3.473205211468716</v>
      </c>
      <c r="G203" s="3">
        <f t="shared" si="21"/>
        <v>2.7401039148229129</v>
      </c>
      <c r="H203" s="3">
        <f t="shared" si="22"/>
        <v>-13.557447132200375</v>
      </c>
      <c r="I203" s="3">
        <f t="shared" si="24"/>
        <v>2.7401039148229129</v>
      </c>
      <c r="J203" s="3">
        <f t="shared" si="25"/>
        <v>-2.7114894264400751</v>
      </c>
    </row>
    <row r="204" spans="5:10" x14ac:dyDescent="0.35">
      <c r="E204" s="1">
        <f t="shared" si="20"/>
        <v>200</v>
      </c>
      <c r="F204" s="3">
        <f t="shared" si="23"/>
        <v>3.4906585039886591</v>
      </c>
      <c r="G204" s="3">
        <f t="shared" si="21"/>
        <v>2.7002776495970964</v>
      </c>
      <c r="H204" s="3">
        <f t="shared" si="22"/>
        <v>-13.479270019610494</v>
      </c>
      <c r="I204" s="3">
        <f t="shared" si="24"/>
        <v>2.7002776495970964</v>
      </c>
      <c r="J204" s="3">
        <f t="shared" si="25"/>
        <v>-2.6958540039220988</v>
      </c>
    </row>
    <row r="205" spans="5:10" x14ac:dyDescent="0.35">
      <c r="E205" s="1">
        <f t="shared" si="20"/>
        <v>201</v>
      </c>
      <c r="F205" s="3">
        <f t="shared" si="23"/>
        <v>3.5081117965086026</v>
      </c>
      <c r="G205" s="3">
        <f t="shared" si="21"/>
        <v>2.6596288536410344</v>
      </c>
      <c r="H205" s="3">
        <f t="shared" si="22"/>
        <v>-13.396986990796018</v>
      </c>
      <c r="I205" s="3">
        <f t="shared" si="24"/>
        <v>2.6596288536410344</v>
      </c>
      <c r="J205" s="3">
        <f t="shared" si="25"/>
        <v>-2.6793973981592036</v>
      </c>
    </row>
    <row r="206" spans="5:10" x14ac:dyDescent="0.35">
      <c r="E206" s="1">
        <f t="shared" si="20"/>
        <v>202</v>
      </c>
      <c r="F206" s="3">
        <f t="shared" si="23"/>
        <v>3.5255650890285457</v>
      </c>
      <c r="G206" s="3">
        <f t="shared" si="21"/>
        <v>2.6181699089717512</v>
      </c>
      <c r="H206" s="3">
        <f t="shared" si="22"/>
        <v>-13.310623109964618</v>
      </c>
      <c r="I206" s="3">
        <f t="shared" si="24"/>
        <v>2.6181699089717512</v>
      </c>
      <c r="J206" s="3">
        <f t="shared" si="25"/>
        <v>-2.6621246219929238</v>
      </c>
    </row>
    <row r="207" spans="5:10" x14ac:dyDescent="0.35">
      <c r="E207" s="1">
        <f t="shared" si="20"/>
        <v>203</v>
      </c>
      <c r="F207" s="3">
        <f t="shared" si="23"/>
        <v>3.5430183815484888</v>
      </c>
      <c r="G207" s="3">
        <f t="shared" si="21"/>
        <v>2.5759134443854137</v>
      </c>
      <c r="H207" s="3">
        <f t="shared" si="22"/>
        <v>-13.220204684391021</v>
      </c>
      <c r="I207" s="3">
        <f t="shared" si="24"/>
        <v>2.5759134443854137</v>
      </c>
      <c r="J207" s="3">
        <f t="shared" si="25"/>
        <v>-2.6440409368782043</v>
      </c>
    </row>
    <row r="208" spans="5:10" x14ac:dyDescent="0.35">
      <c r="E208" s="1">
        <f t="shared" si="20"/>
        <v>204</v>
      </c>
      <c r="F208" s="3">
        <f t="shared" si="23"/>
        <v>3.5604716740684323</v>
      </c>
      <c r="G208" s="3">
        <f t="shared" si="21"/>
        <v>2.5328723316104811</v>
      </c>
      <c r="H208" s="3">
        <f t="shared" si="22"/>
        <v>-13.12575925640356</v>
      </c>
      <c r="I208" s="3">
        <f t="shared" si="24"/>
        <v>2.5328723316104811</v>
      </c>
      <c r="J208" s="3">
        <f t="shared" si="25"/>
        <v>-2.6251518512807119</v>
      </c>
    </row>
    <row r="209" spans="5:10" x14ac:dyDescent="0.35">
      <c r="E209" s="1">
        <f t="shared" si="20"/>
        <v>205</v>
      </c>
      <c r="F209" s="3">
        <f t="shared" si="23"/>
        <v>3.5779249665883754</v>
      </c>
      <c r="G209" s="3">
        <f t="shared" si="21"/>
        <v>2.489059681386856</v>
      </c>
      <c r="H209" s="3">
        <f t="shared" si="22"/>
        <v>-13.027315594994514</v>
      </c>
      <c r="I209" s="3">
        <f t="shared" si="24"/>
        <v>2.489059681386856</v>
      </c>
      <c r="J209" s="3">
        <f t="shared" si="25"/>
        <v>-2.6054631189989026</v>
      </c>
    </row>
    <row r="210" spans="5:10" x14ac:dyDescent="0.35">
      <c r="E210" s="1">
        <f t="shared" si="20"/>
        <v>206</v>
      </c>
      <c r="F210" s="3">
        <f t="shared" si="23"/>
        <v>3.595378259108319</v>
      </c>
      <c r="G210" s="3">
        <f t="shared" si="21"/>
        <v>2.4444888394722173</v>
      </c>
      <c r="H210" s="3">
        <f t="shared" si="22"/>
        <v>-12.924903687056791</v>
      </c>
      <c r="I210" s="3">
        <f t="shared" si="24"/>
        <v>2.4444888394722173</v>
      </c>
      <c r="J210" s="3">
        <f t="shared" si="25"/>
        <v>-2.584980737411358</v>
      </c>
    </row>
    <row r="211" spans="5:10" x14ac:dyDescent="0.35">
      <c r="E211" s="1">
        <f t="shared" si="20"/>
        <v>207</v>
      </c>
      <c r="F211" s="3">
        <f t="shared" si="23"/>
        <v>3.6128315516282621</v>
      </c>
      <c r="G211" s="3">
        <f t="shared" si="21"/>
        <v>2.3991733825767807</v>
      </c>
      <c r="H211" s="3">
        <f t="shared" si="22"/>
        <v>-12.818554728249639</v>
      </c>
      <c r="I211" s="3">
        <f t="shared" si="24"/>
        <v>2.3991733825767807</v>
      </c>
      <c r="J211" s="3">
        <f t="shared" si="25"/>
        <v>-2.5637109456499276</v>
      </c>
    </row>
    <row r="212" spans="5:10" x14ac:dyDescent="0.35">
      <c r="E212" s="1">
        <f t="shared" si="20"/>
        <v>208</v>
      </c>
      <c r="F212" s="3">
        <f t="shared" si="23"/>
        <v>3.6302848441482056</v>
      </c>
      <c r="G212" s="3">
        <f t="shared" si="21"/>
        <v>2.3531271142276959</v>
      </c>
      <c r="H212" s="3">
        <f t="shared" si="22"/>
        <v>-12.708301113496132</v>
      </c>
      <c r="I212" s="3">
        <f t="shared" si="24"/>
        <v>2.3531271142276959</v>
      </c>
      <c r="J212" s="3">
        <f t="shared" si="25"/>
        <v>-2.5416602226992264</v>
      </c>
    </row>
    <row r="213" spans="5:10" x14ac:dyDescent="0.35">
      <c r="E213" s="1">
        <f t="shared" si="20"/>
        <v>209</v>
      </c>
      <c r="F213" s="3">
        <f t="shared" si="23"/>
        <v>3.6477381366681487</v>
      </c>
      <c r="G213" s="3">
        <f t="shared" si="21"/>
        <v>2.3063640605643654</v>
      </c>
      <c r="H213" s="3">
        <f t="shared" si="22"/>
        <v>-12.594176427115382</v>
      </c>
      <c r="I213" s="3">
        <f t="shared" si="24"/>
        <v>2.3063640605643654</v>
      </c>
      <c r="J213" s="3">
        <f t="shared" si="25"/>
        <v>-2.5188352854230764</v>
      </c>
    </row>
    <row r="214" spans="5:10" x14ac:dyDescent="0.35">
      <c r="E214" s="1">
        <f t="shared" si="20"/>
        <v>210</v>
      </c>
      <c r="F214" s="3">
        <f t="shared" si="23"/>
        <v>3.6651914291880923</v>
      </c>
      <c r="G214" s="3">
        <f t="shared" si="21"/>
        <v>2.2588984660659341</v>
      </c>
      <c r="H214" s="3">
        <f t="shared" si="22"/>
        <v>-12.476215432592401</v>
      </c>
      <c r="I214" s="3">
        <f t="shared" si="24"/>
        <v>2.2588984660659337</v>
      </c>
      <c r="J214" s="3">
        <f t="shared" si="25"/>
        <v>-2.4952430865184803</v>
      </c>
    </row>
    <row r="215" spans="5:10" x14ac:dyDescent="0.35">
      <c r="E215" s="1">
        <f t="shared" si="20"/>
        <v>211</v>
      </c>
      <c r="F215" s="3">
        <f t="shared" si="23"/>
        <v>3.6826447217080354</v>
      </c>
      <c r="G215" s="3">
        <f t="shared" si="21"/>
        <v>2.2107447892123</v>
      </c>
      <c r="H215" s="3">
        <f t="shared" si="22"/>
        <v>-12.354454061988843</v>
      </c>
      <c r="I215" s="3">
        <f t="shared" si="24"/>
        <v>2.2107447892123</v>
      </c>
      <c r="J215" s="3">
        <f t="shared" si="25"/>
        <v>-2.4708908123977684</v>
      </c>
    </row>
    <row r="216" spans="5:10" x14ac:dyDescent="0.35">
      <c r="E216" s="1">
        <f t="shared" si="20"/>
        <v>212</v>
      </c>
      <c r="F216" s="3">
        <f t="shared" si="23"/>
        <v>3.7000980142279785</v>
      </c>
      <c r="G216" s="3">
        <f t="shared" si="21"/>
        <v>2.1619176980799057</v>
      </c>
      <c r="H216" s="3">
        <f t="shared" si="22"/>
        <v>-12.228929404997716</v>
      </c>
      <c r="I216" s="3">
        <f t="shared" si="24"/>
        <v>2.1619176980799057</v>
      </c>
      <c r="J216" s="3">
        <f t="shared" si="25"/>
        <v>-2.4457858809995434</v>
      </c>
    </row>
    <row r="217" spans="5:10" x14ac:dyDescent="0.35">
      <c r="E217" s="1">
        <f t="shared" si="20"/>
        <v>213</v>
      </c>
      <c r="F217" s="3">
        <f t="shared" si="23"/>
        <v>3.717551306747922</v>
      </c>
      <c r="G217" s="3">
        <f t="shared" si="21"/>
        <v>2.1124320658737088</v>
      </c>
      <c r="H217" s="3">
        <f t="shared" si="22"/>
        <v>-12.099679697645529</v>
      </c>
      <c r="I217" s="3">
        <f t="shared" si="24"/>
        <v>2.1124320658737088</v>
      </c>
      <c r="J217" s="3">
        <f t="shared" si="25"/>
        <v>-2.4199359395291058</v>
      </c>
    </row>
    <row r="218" spans="5:10" x14ac:dyDescent="0.35">
      <c r="E218" s="1">
        <f t="shared" si="20"/>
        <v>214</v>
      </c>
      <c r="F218" s="3">
        <f t="shared" si="23"/>
        <v>3.7350045992678651</v>
      </c>
      <c r="G218" s="3">
        <f t="shared" si="21"/>
        <v>2.0623029663966586</v>
      </c>
      <c r="H218" s="3">
        <f t="shared" si="22"/>
        <v>-11.966744310645211</v>
      </c>
      <c r="I218" s="3">
        <f t="shared" si="24"/>
        <v>2.0623029663966586</v>
      </c>
      <c r="J218" s="3">
        <f t="shared" si="25"/>
        <v>-2.3933488621290424</v>
      </c>
    </row>
    <row r="219" spans="5:10" x14ac:dyDescent="0.35">
      <c r="E219" s="1">
        <f t="shared" si="20"/>
        <v>215</v>
      </c>
      <c r="F219" s="3">
        <f t="shared" si="23"/>
        <v>3.7524578917878086</v>
      </c>
      <c r="G219" s="3">
        <f t="shared" si="21"/>
        <v>2.0115456694580653</v>
      </c>
      <c r="H219" s="3">
        <f t="shared" si="22"/>
        <v>-11.830163737403414</v>
      </c>
      <c r="I219" s="3">
        <f t="shared" si="24"/>
        <v>2.0115456694580653</v>
      </c>
      <c r="J219" s="3">
        <f t="shared" si="25"/>
        <v>-2.3660327474806828</v>
      </c>
    </row>
    <row r="220" spans="5:10" x14ac:dyDescent="0.35">
      <c r="E220" s="1">
        <f t="shared" si="20"/>
        <v>216</v>
      </c>
      <c r="F220" s="3">
        <f t="shared" si="23"/>
        <v>3.7699111843077517</v>
      </c>
      <c r="G220" s="3">
        <f t="shared" si="21"/>
        <v>1.960175636222276</v>
      </c>
      <c r="H220" s="3">
        <f t="shared" si="22"/>
        <v>-11.689979581685837</v>
      </c>
      <c r="I220" s="3">
        <f t="shared" si="24"/>
        <v>1.960175636222276</v>
      </c>
      <c r="J220" s="3">
        <f t="shared" si="25"/>
        <v>-2.3379959163371673</v>
      </c>
    </row>
    <row r="221" spans="5:10" x14ac:dyDescent="0.35">
      <c r="E221" s="1">
        <f t="shared" si="20"/>
        <v>217</v>
      </c>
      <c r="F221" s="3">
        <f t="shared" si="23"/>
        <v>3.7873644768276953</v>
      </c>
      <c r="G221" s="3">
        <f t="shared" si="21"/>
        <v>1.9082085144990444</v>
      </c>
      <c r="H221" s="3">
        <f t="shared" si="22"/>
        <v>-11.5462345449443</v>
      </c>
      <c r="I221" s="3">
        <f t="shared" si="24"/>
        <v>1.9082085144990444</v>
      </c>
      <c r="J221" s="3">
        <f t="shared" si="25"/>
        <v>-2.3092469089888601</v>
      </c>
    </row>
    <row r="222" spans="5:10" x14ac:dyDescent="0.35">
      <c r="E222" s="1">
        <f t="shared" si="20"/>
        <v>218</v>
      </c>
      <c r="F222" s="3">
        <f t="shared" si="23"/>
        <v>3.8048177693476384</v>
      </c>
      <c r="G222" s="3">
        <f t="shared" si="21"/>
        <v>1.8556601339770666</v>
      </c>
      <c r="H222" s="3">
        <f t="shared" si="22"/>
        <v>-11.398972413309489</v>
      </c>
      <c r="I222" s="3">
        <f t="shared" si="24"/>
        <v>1.8556601339770666</v>
      </c>
      <c r="J222" s="3">
        <f t="shared" si="25"/>
        <v>-2.2797944826618974</v>
      </c>
    </row>
    <row r="223" spans="5:10" x14ac:dyDescent="0.35">
      <c r="E223" s="1">
        <f t="shared" si="20"/>
        <v>219</v>
      </c>
      <c r="F223" s="3">
        <f t="shared" si="23"/>
        <v>3.8222710618675819</v>
      </c>
      <c r="G223" s="3">
        <f t="shared" si="21"/>
        <v>1.8025465014020947</v>
      </c>
      <c r="H223" s="3">
        <f t="shared" si="22"/>
        <v>-11.248238044253256</v>
      </c>
      <c r="I223" s="3">
        <f t="shared" si="24"/>
        <v>1.8025465014020947</v>
      </c>
      <c r="J223" s="3">
        <f t="shared" si="25"/>
        <v>-2.2496476088506512</v>
      </c>
    </row>
    <row r="224" spans="5:10" x14ac:dyDescent="0.35">
      <c r="E224" s="1">
        <f t="shared" si="20"/>
        <v>220</v>
      </c>
      <c r="F224" s="3">
        <f t="shared" si="23"/>
        <v>3.839724354387525</v>
      </c>
      <c r="G224" s="3">
        <f t="shared" si="21"/>
        <v>1.7488837957011367</v>
      </c>
      <c r="H224" s="3">
        <f t="shared" si="22"/>
        <v>-11.094077352924618</v>
      </c>
      <c r="I224" s="3">
        <f t="shared" si="24"/>
        <v>1.7488837957011367</v>
      </c>
      <c r="J224" s="3">
        <f t="shared" si="25"/>
        <v>-2.2188154705849237</v>
      </c>
    </row>
    <row r="225" spans="5:10" x14ac:dyDescent="0.35">
      <c r="E225" s="1">
        <f t="shared" si="20"/>
        <v>221</v>
      </c>
      <c r="F225" s="3">
        <f t="shared" si="23"/>
        <v>3.8571776469074681</v>
      </c>
      <c r="G225" s="3">
        <f t="shared" si="21"/>
        <v>1.6946883630541909</v>
      </c>
      <c r="H225" s="3">
        <f t="shared" si="22"/>
        <v>-10.93653729816354</v>
      </c>
      <c r="I225" s="3">
        <f t="shared" si="24"/>
        <v>1.6946883630541909</v>
      </c>
      <c r="J225" s="3">
        <f t="shared" si="25"/>
        <v>-2.187307459632708</v>
      </c>
    </row>
    <row r="226" spans="5:10" x14ac:dyDescent="0.35">
      <c r="E226" s="1">
        <f t="shared" si="20"/>
        <v>222</v>
      </c>
      <c r="F226" s="3">
        <f t="shared" si="23"/>
        <v>3.8746309394274117</v>
      </c>
      <c r="G226" s="3">
        <f t="shared" si="21"/>
        <v>1.6399767119150428</v>
      </c>
      <c r="H226" s="3">
        <f t="shared" si="22"/>
        <v>-10.775665868196821</v>
      </c>
      <c r="I226" s="3">
        <f t="shared" si="24"/>
        <v>1.6399767119150428</v>
      </c>
      <c r="J226" s="3">
        <f t="shared" si="25"/>
        <v>-2.1551331736393644</v>
      </c>
    </row>
    <row r="227" spans="5:10" x14ac:dyDescent="0.35">
      <c r="E227" s="1">
        <f t="shared" si="20"/>
        <v>223</v>
      </c>
      <c r="F227" s="3">
        <f t="shared" si="23"/>
        <v>3.8920842319473548</v>
      </c>
      <c r="G227" s="3">
        <f t="shared" si="21"/>
        <v>1.5847655079826346</v>
      </c>
      <c r="H227" s="3">
        <f t="shared" si="22"/>
        <v>-10.611512066020433</v>
      </c>
      <c r="I227" s="3">
        <f t="shared" si="24"/>
        <v>1.5847655079826346</v>
      </c>
      <c r="J227" s="3">
        <f t="shared" si="25"/>
        <v>-2.1223024132040869</v>
      </c>
    </row>
    <row r="228" spans="5:10" x14ac:dyDescent="0.35">
      <c r="E228" s="1">
        <f t="shared" si="20"/>
        <v>224</v>
      </c>
      <c r="F228" s="3">
        <f t="shared" si="23"/>
        <v>3.9095375244672983</v>
      </c>
      <c r="G228" s="3">
        <f t="shared" si="21"/>
        <v>1.529071569124526</v>
      </c>
      <c r="H228" s="3">
        <f t="shared" si="22"/>
        <v>-10.444125894472707</v>
      </c>
      <c r="I228" s="3">
        <f t="shared" si="24"/>
        <v>1.529071569124526</v>
      </c>
      <c r="J228" s="3">
        <f t="shared" si="25"/>
        <v>-2.0888251788945413</v>
      </c>
    </row>
    <row r="229" spans="5:10" x14ac:dyDescent="0.35">
      <c r="E229" s="1">
        <f t="shared" si="20"/>
        <v>225</v>
      </c>
      <c r="F229" s="3">
        <f t="shared" si="23"/>
        <v>3.9269908169872414</v>
      </c>
      <c r="G229" s="3">
        <f t="shared" si="21"/>
        <v>1.4729118602540152</v>
      </c>
      <c r="H229" s="3">
        <f t="shared" si="22"/>
        <v>-10.27355834100301</v>
      </c>
      <c r="I229" s="3">
        <f t="shared" si="24"/>
        <v>1.4729118602540152</v>
      </c>
      <c r="J229" s="3">
        <f t="shared" si="25"/>
        <v>-2.0547116682006021</v>
      </c>
    </row>
    <row r="230" spans="5:10" x14ac:dyDescent="0.35">
      <c r="E230" s="1">
        <f t="shared" si="20"/>
        <v>226</v>
      </c>
      <c r="F230" s="3">
        <f t="shared" si="23"/>
        <v>3.9444441095071849</v>
      </c>
      <c r="G230" s="3">
        <f t="shared" si="21"/>
        <v>1.416303488162451</v>
      </c>
      <c r="H230" s="3">
        <f t="shared" si="22"/>
        <v>-10.099861362140444</v>
      </c>
      <c r="I230" s="3">
        <f t="shared" si="24"/>
        <v>1.416303488162451</v>
      </c>
      <c r="J230" s="3">
        <f t="shared" si="25"/>
        <v>-2.0199722724280886</v>
      </c>
    </row>
    <row r="231" spans="5:10" x14ac:dyDescent="0.35">
      <c r="E231" s="1">
        <f t="shared" si="20"/>
        <v>227</v>
      </c>
      <c r="F231" s="3">
        <f t="shared" si="23"/>
        <v>3.961897402027128</v>
      </c>
      <c r="G231" s="3">
        <f t="shared" si="21"/>
        <v>1.3592636963083544</v>
      </c>
      <c r="H231" s="3">
        <f t="shared" si="22"/>
        <v>-9.9230878676674212</v>
      </c>
      <c r="I231" s="3">
        <f t="shared" si="24"/>
        <v>1.3592636963083544</v>
      </c>
      <c r="J231" s="3">
        <f t="shared" si="25"/>
        <v>-1.9846175735334843</v>
      </c>
    </row>
    <row r="232" spans="5:10" x14ac:dyDescent="0.35">
      <c r="E232" s="1">
        <f t="shared" si="20"/>
        <v>228</v>
      </c>
      <c r="F232" s="3">
        <f t="shared" si="23"/>
        <v>3.9793506945470716</v>
      </c>
      <c r="G232" s="3">
        <f t="shared" si="21"/>
        <v>1.3018098595648779</v>
      </c>
      <c r="H232" s="3">
        <f t="shared" si="22"/>
        <v>-9.7432917045027914</v>
      </c>
      <c r="I232" s="3">
        <f t="shared" si="24"/>
        <v>1.3018098595648779</v>
      </c>
      <c r="J232" s="3">
        <f t="shared" si="25"/>
        <v>-1.9486583409005582</v>
      </c>
    </row>
    <row r="233" spans="5:10" x14ac:dyDescent="0.35">
      <c r="E233" s="1">
        <f t="shared" si="20"/>
        <v>229</v>
      </c>
      <c r="F233" s="3">
        <f t="shared" si="23"/>
        <v>3.9968039870670147</v>
      </c>
      <c r="G233" s="3">
        <f t="shared" si="21"/>
        <v>1.2439594789272634</v>
      </c>
      <c r="H233" s="3">
        <f t="shared" si="22"/>
        <v>-9.5605276402995862</v>
      </c>
      <c r="I233" s="3">
        <f t="shared" si="24"/>
        <v>1.2439594789272634</v>
      </c>
      <c r="J233" s="3">
        <f t="shared" si="25"/>
        <v>-1.9121055280599173</v>
      </c>
    </row>
    <row r="234" spans="5:10" x14ac:dyDescent="0.35">
      <c r="E234" s="1">
        <f t="shared" si="20"/>
        <v>230</v>
      </c>
      <c r="F234" s="3">
        <f t="shared" si="23"/>
        <v>4.0142572795869578</v>
      </c>
      <c r="G234" s="3">
        <f t="shared" si="21"/>
        <v>1.1857301761818624</v>
      </c>
      <c r="H234" s="3">
        <f t="shared" si="22"/>
        <v>-9.3748513467622381</v>
      </c>
      <c r="I234" s="3">
        <f t="shared" si="24"/>
        <v>1.1857301761818624</v>
      </c>
      <c r="J234" s="3">
        <f t="shared" si="25"/>
        <v>-1.8749702693524475</v>
      </c>
    </row>
    <row r="235" spans="5:10" x14ac:dyDescent="0.35">
      <c r="E235" s="1">
        <f t="shared" si="20"/>
        <v>231</v>
      </c>
      <c r="F235" s="3">
        <f t="shared" si="23"/>
        <v>4.0317105721069009</v>
      </c>
      <c r="G235" s="3">
        <f t="shared" si="21"/>
        <v>1.12713968853837</v>
      </c>
      <c r="H235" s="3">
        <f t="shared" si="22"/>
        <v>-9.1863193826884419</v>
      </c>
      <c r="I235" s="3">
        <f t="shared" si="24"/>
        <v>1.12713968853837</v>
      </c>
      <c r="J235" s="3">
        <f t="shared" si="25"/>
        <v>-1.8372638765376883</v>
      </c>
    </row>
    <row r="236" spans="5:10" x14ac:dyDescent="0.35">
      <c r="E236" s="1">
        <f t="shared" si="20"/>
        <v>232</v>
      </c>
      <c r="F236" s="3">
        <f t="shared" si="23"/>
        <v>4.0491638646268449</v>
      </c>
      <c r="G236" s="3">
        <f t="shared" si="21"/>
        <v>1.0682058632268987</v>
      </c>
      <c r="H236" s="3">
        <f t="shared" si="22"/>
        <v>-8.994989176740793</v>
      </c>
      <c r="I236" s="3">
        <f t="shared" si="24"/>
        <v>1.0682058632268987</v>
      </c>
      <c r="J236" s="3">
        <f t="shared" si="25"/>
        <v>-1.7989978353481586</v>
      </c>
    </row>
    <row r="237" spans="5:10" x14ac:dyDescent="0.35">
      <c r="E237" s="1">
        <f t="shared" si="20"/>
        <v>233</v>
      </c>
      <c r="F237" s="3">
        <f t="shared" si="23"/>
        <v>4.066617157146788</v>
      </c>
      <c r="G237" s="3">
        <f t="shared" si="21"/>
        <v>1.0089466520615487</v>
      </c>
      <c r="H237" s="3">
        <f t="shared" si="22"/>
        <v>-8.8009190099535015</v>
      </c>
      <c r="I237" s="3">
        <f t="shared" si="24"/>
        <v>1.0089466520615487</v>
      </c>
      <c r="J237" s="3">
        <f t="shared" si="25"/>
        <v>-1.7601838019907001</v>
      </c>
    </row>
    <row r="238" spans="5:10" x14ac:dyDescent="0.35">
      <c r="E238" s="1">
        <f t="shared" si="20"/>
        <v>234</v>
      </c>
      <c r="F238" s="3">
        <f t="shared" si="23"/>
        <v>4.0840704496667311</v>
      </c>
      <c r="G238" s="3">
        <f t="shared" si="21"/>
        <v>0.94938010597209499</v>
      </c>
      <c r="H238" s="3">
        <f t="shared" si="22"/>
        <v>-8.6041679979793635</v>
      </c>
      <c r="I238" s="3">
        <f t="shared" si="24"/>
        <v>0.94938010597209499</v>
      </c>
      <c r="J238" s="3">
        <f t="shared" si="25"/>
        <v>-1.7208335995958728</v>
      </c>
    </row>
    <row r="239" spans="5:10" x14ac:dyDescent="0.35">
      <c r="E239" s="1">
        <f t="shared" si="20"/>
        <v>235</v>
      </c>
      <c r="F239" s="3">
        <f t="shared" si="23"/>
        <v>4.1015237421866741</v>
      </c>
      <c r="G239" s="3">
        <f t="shared" si="21"/>
        <v>0.88952436950551061</v>
      </c>
      <c r="H239" s="3">
        <f t="shared" si="22"/>
        <v>-8.4047960730825917</v>
      </c>
      <c r="I239" s="3">
        <f t="shared" si="24"/>
        <v>0.88952436950551061</v>
      </c>
      <c r="J239" s="3">
        <f t="shared" si="25"/>
        <v>-1.6809592146165184</v>
      </c>
    </row>
    <row r="240" spans="5:10" x14ac:dyDescent="0.35">
      <c r="E240" s="1">
        <f t="shared" si="20"/>
        <v>236</v>
      </c>
      <c r="F240" s="3">
        <f t="shared" si="23"/>
        <v>4.1189770347066181</v>
      </c>
      <c r="G240" s="3">
        <f t="shared" si="21"/>
        <v>0.82939767529895581</v>
      </c>
      <c r="H240" s="3">
        <f t="shared" si="22"/>
        <v>-8.2028639658828642</v>
      </c>
      <c r="I240" s="3">
        <f t="shared" si="24"/>
        <v>0.82939767529895581</v>
      </c>
      <c r="J240" s="3">
        <f t="shared" si="25"/>
        <v>-1.6405727931765726</v>
      </c>
    </row>
    <row r="241" spans="5:10" x14ac:dyDescent="0.35">
      <c r="E241" s="1">
        <f t="shared" si="20"/>
        <v>237</v>
      </c>
      <c r="F241" s="3">
        <f t="shared" si="23"/>
        <v>4.1364303272265612</v>
      </c>
      <c r="G241" s="3">
        <f t="shared" si="21"/>
        <v>0.76901833852595236</v>
      </c>
      <c r="H241" s="3">
        <f t="shared" si="22"/>
        <v>-7.9984331868562091</v>
      </c>
      <c r="I241" s="3">
        <f t="shared" si="24"/>
        <v>0.76901833852595236</v>
      </c>
      <c r="J241" s="3">
        <f t="shared" si="25"/>
        <v>-1.5996866373712419</v>
      </c>
    </row>
    <row r="242" spans="5:10" x14ac:dyDescent="0.35">
      <c r="E242" s="1">
        <f t="shared" si="20"/>
        <v>238</v>
      </c>
      <c r="F242" s="3">
        <f t="shared" si="23"/>
        <v>4.1538836197465043</v>
      </c>
      <c r="G242" s="3">
        <f t="shared" si="21"/>
        <v>0.70840475131738589</v>
      </c>
      <c r="H242" s="3">
        <f t="shared" si="22"/>
        <v>-7.7915660075982771</v>
      </c>
      <c r="I242" s="3">
        <f t="shared" si="24"/>
        <v>0.70840475131738589</v>
      </c>
      <c r="J242" s="3">
        <f t="shared" si="25"/>
        <v>-1.5583132015196555</v>
      </c>
    </row>
    <row r="243" spans="5:10" x14ac:dyDescent="0.35">
      <c r="E243" s="1">
        <f t="shared" si="20"/>
        <v>239</v>
      </c>
      <c r="F243" s="3">
        <f t="shared" si="23"/>
        <v>4.1713369122664474</v>
      </c>
      <c r="G243" s="3">
        <f t="shared" si="21"/>
        <v>0.64757537715909752</v>
      </c>
      <c r="H243" s="3">
        <f t="shared" si="22"/>
        <v>-7.5823254418558346</v>
      </c>
      <c r="I243" s="3">
        <f t="shared" si="24"/>
        <v>0.64757537715909752</v>
      </c>
      <c r="J243" s="3">
        <f t="shared" si="25"/>
        <v>-1.516465088371167</v>
      </c>
    </row>
    <row r="244" spans="5:10" x14ac:dyDescent="0.35">
      <c r="E244" s="1">
        <f t="shared" si="20"/>
        <v>240</v>
      </c>
      <c r="F244" s="3">
        <f t="shared" si="23"/>
        <v>4.1887902047863905</v>
      </c>
      <c r="G244" s="3">
        <f t="shared" si="21"/>
        <v>0.58654874526772249</v>
      </c>
      <c r="H244" s="3">
        <f t="shared" si="22"/>
        <v>-7.3707752263321673</v>
      </c>
      <c r="I244" s="3">
        <f t="shared" si="24"/>
        <v>0.58654874526772249</v>
      </c>
      <c r="J244" s="3">
        <f t="shared" si="25"/>
        <v>-1.4741550452664334</v>
      </c>
    </row>
    <row r="245" spans="5:10" x14ac:dyDescent="0.35">
      <c r="E245" s="1">
        <f t="shared" si="20"/>
        <v>241</v>
      </c>
      <c r="F245" s="3">
        <f t="shared" si="23"/>
        <v>4.2062434973063345</v>
      </c>
      <c r="G245" s="3">
        <f t="shared" si="21"/>
        <v>0.52534344494651064</v>
      </c>
      <c r="H245" s="3">
        <f t="shared" si="22"/>
        <v>-7.1569798012722448</v>
      </c>
      <c r="I245" s="3">
        <f t="shared" si="24"/>
        <v>0.52534344494651064</v>
      </c>
      <c r="J245" s="3">
        <f t="shared" si="25"/>
        <v>-1.431395960254449</v>
      </c>
    </row>
    <row r="246" spans="5:10" x14ac:dyDescent="0.35">
      <c r="E246" s="1">
        <f t="shared" si="20"/>
        <v>242</v>
      </c>
      <c r="F246" s="3">
        <f t="shared" si="23"/>
        <v>4.2236967898262776</v>
      </c>
      <c r="G246" s="3">
        <f t="shared" si="21"/>
        <v>0.46397811992285498</v>
      </c>
      <c r="H246" s="3">
        <f t="shared" si="22"/>
        <v>-6.9410042908336465</v>
      </c>
      <c r="I246" s="3">
        <f t="shared" si="24"/>
        <v>0.46397811992285498</v>
      </c>
      <c r="J246" s="3">
        <f t="shared" si="25"/>
        <v>-1.3882008581667293</v>
      </c>
    </row>
    <row r="247" spans="5:10" x14ac:dyDescent="0.35">
      <c r="E247" s="1">
        <f t="shared" si="20"/>
        <v>243</v>
      </c>
      <c r="F247" s="3">
        <f t="shared" si="23"/>
        <v>4.2411500823462207</v>
      </c>
      <c r="G247" s="3">
        <f t="shared" si="21"/>
        <v>0.40247146266921408</v>
      </c>
      <c r="H247" s="3">
        <f t="shared" si="22"/>
        <v>-6.7229144832490411</v>
      </c>
      <c r="I247" s="3">
        <f t="shared" si="24"/>
        <v>0.40247146266921408</v>
      </c>
      <c r="J247" s="3">
        <f t="shared" si="25"/>
        <v>-1.3445828966498081</v>
      </c>
    </row>
    <row r="248" spans="5:10" x14ac:dyDescent="0.35">
      <c r="E248" s="1">
        <f t="shared" si="20"/>
        <v>244</v>
      </c>
      <c r="F248" s="3">
        <f t="shared" si="23"/>
        <v>4.2586033748661638</v>
      </c>
      <c r="G248" s="3">
        <f t="shared" si="21"/>
        <v>0.34084220870921556</v>
      </c>
      <c r="H248" s="3">
        <f t="shared" si="22"/>
        <v>-6.5027768107865045</v>
      </c>
      <c r="I248" s="3">
        <f t="shared" si="24"/>
        <v>0.34084220870921561</v>
      </c>
      <c r="J248" s="3">
        <f t="shared" si="25"/>
        <v>-1.3005553621573009</v>
      </c>
    </row>
    <row r="249" spans="5:10" x14ac:dyDescent="0.35">
      <c r="E249" s="1">
        <f t="shared" si="20"/>
        <v>245</v>
      </c>
      <c r="F249" s="3">
        <f t="shared" si="23"/>
        <v>4.2760566673861078</v>
      </c>
      <c r="G249" s="3">
        <f t="shared" si="21"/>
        <v>0.27910913091062817</v>
      </c>
      <c r="H249" s="3">
        <f t="shared" si="22"/>
        <v>-6.2806583295135763</v>
      </c>
      <c r="I249" s="3">
        <f t="shared" si="24"/>
        <v>0.27910913091062817</v>
      </c>
      <c r="J249" s="3">
        <f t="shared" si="25"/>
        <v>-1.2561316659027153</v>
      </c>
    </row>
    <row r="250" spans="5:10" x14ac:dyDescent="0.35">
      <c r="E250" s="1">
        <f t="shared" si="20"/>
        <v>246</v>
      </c>
      <c r="F250" s="3">
        <f t="shared" si="23"/>
        <v>4.2935099599060509</v>
      </c>
      <c r="G250" s="3">
        <f t="shared" si="21"/>
        <v>0.21729103376697734</v>
      </c>
      <c r="H250" s="3">
        <f t="shared" si="22"/>
        <v>-6.0566266988713862</v>
      </c>
      <c r="I250" s="3">
        <f t="shared" si="24"/>
        <v>0.21729103376697734</v>
      </c>
      <c r="J250" s="3">
        <f t="shared" si="25"/>
        <v>-1.2113253397742771</v>
      </c>
    </row>
    <row r="251" spans="5:10" x14ac:dyDescent="0.35">
      <c r="E251" s="1">
        <f t="shared" si="20"/>
        <v>247</v>
      </c>
      <c r="F251" s="3">
        <f t="shared" si="23"/>
        <v>4.310963252425994</v>
      </c>
      <c r="G251" s="3">
        <f t="shared" si="21"/>
        <v>0.15540674766949647</v>
      </c>
      <c r="H251" s="3">
        <f t="shared" si="22"/>
        <v>-5.8307501610648611</v>
      </c>
      <c r="I251" s="3">
        <f t="shared" si="24"/>
        <v>0.15540674766949647</v>
      </c>
      <c r="J251" s="3">
        <f t="shared" si="25"/>
        <v>-1.1661500322129723</v>
      </c>
    </row>
    <row r="252" spans="5:10" x14ac:dyDescent="0.35">
      <c r="E252" s="1">
        <f t="shared" si="20"/>
        <v>248</v>
      </c>
      <c r="F252" s="3">
        <f t="shared" si="23"/>
        <v>4.3284165449459371</v>
      </c>
      <c r="G252" s="3">
        <f t="shared" si="21"/>
        <v>9.347512317121609E-2</v>
      </c>
      <c r="H252" s="3">
        <f t="shared" si="22"/>
        <v>-5.6030975202755293</v>
      </c>
      <c r="I252" s="3">
        <f t="shared" si="24"/>
        <v>9.3475123171216104E-2</v>
      </c>
      <c r="J252" s="3">
        <f t="shared" si="25"/>
        <v>-1.1206195040551057</v>
      </c>
    </row>
    <row r="253" spans="5:10" x14ac:dyDescent="0.35">
      <c r="E253" s="1">
        <f t="shared" si="20"/>
        <v>249</v>
      </c>
      <c r="F253" s="3">
        <f t="shared" si="23"/>
        <v>4.3458698374658802</v>
      </c>
      <c r="G253" s="3">
        <f t="shared" si="21"/>
        <v>3.1515025244903683E-2</v>
      </c>
      <c r="H253" s="3">
        <f t="shared" si="22"/>
        <v>-5.3737381217030959</v>
      </c>
      <c r="I253" s="3">
        <f t="shared" si="24"/>
        <v>3.1515025244903683E-2</v>
      </c>
      <c r="J253" s="3">
        <f t="shared" si="25"/>
        <v>-1.0747476243406193</v>
      </c>
    </row>
    <row r="254" spans="5:10" x14ac:dyDescent="0.35">
      <c r="E254" s="1">
        <f t="shared" si="20"/>
        <v>250</v>
      </c>
      <c r="F254" s="3">
        <f t="shared" si="23"/>
        <v>4.3633231299858242</v>
      </c>
      <c r="G254" s="3">
        <f t="shared" si="21"/>
        <v>-3.0454672463394061E-2</v>
      </c>
      <c r="H254" s="3">
        <f t="shared" si="22"/>
        <v>-5.1427418304422119</v>
      </c>
      <c r="I254" s="3">
        <f t="shared" si="24"/>
        <v>-3.0454672463394061E-2</v>
      </c>
      <c r="J254" s="3">
        <f t="shared" si="25"/>
        <v>-1.0285483660884422</v>
      </c>
    </row>
    <row r="255" spans="5:10" x14ac:dyDescent="0.35">
      <c r="E255" s="1">
        <f t="shared" si="20"/>
        <v>251</v>
      </c>
      <c r="F255" s="3">
        <f t="shared" si="23"/>
        <v>4.3807764225057673</v>
      </c>
      <c r="G255" s="3">
        <f t="shared" si="21"/>
        <v>-9.2415093383435565E-2</v>
      </c>
      <c r="H255" s="3">
        <f t="shared" si="22"/>
        <v>-4.9101790102009275</v>
      </c>
      <c r="I255" s="3">
        <f t="shared" si="24"/>
        <v>-9.2415093383435565E-2</v>
      </c>
      <c r="J255" s="3">
        <f t="shared" si="25"/>
        <v>-0.98203580204018548</v>
      </c>
    </row>
    <row r="256" spans="5:10" x14ac:dyDescent="0.35">
      <c r="E256" s="1">
        <f t="shared" si="20"/>
        <v>252</v>
      </c>
      <c r="F256" s="3">
        <f t="shared" si="23"/>
        <v>4.3982297150257104</v>
      </c>
      <c r="G256" s="3">
        <f t="shared" si="21"/>
        <v>-0.15434736377078706</v>
      </c>
      <c r="H256" s="3">
        <f t="shared" si="22"/>
        <v>-4.6761205018671639</v>
      </c>
      <c r="I256" s="3">
        <f t="shared" si="24"/>
        <v>-0.15434736377078706</v>
      </c>
      <c r="J256" s="3">
        <f t="shared" si="25"/>
        <v>-0.93522410037343273</v>
      </c>
    </row>
    <row r="257" spans="5:10" x14ac:dyDescent="0.35">
      <c r="E257" s="1">
        <f t="shared" ref="E257:E320" si="26">E256+1</f>
        <v>253</v>
      </c>
      <c r="F257" s="3">
        <f t="shared" si="23"/>
        <v>4.4156830075456535</v>
      </c>
      <c r="G257" s="3">
        <f t="shared" si="21"/>
        <v>-0.21623261845593766</v>
      </c>
      <c r="H257" s="3">
        <f t="shared" si="22"/>
        <v>-4.440637601929935</v>
      </c>
      <c r="I257" s="3">
        <f t="shared" si="24"/>
        <v>-0.21623261845593766</v>
      </c>
      <c r="J257" s="3">
        <f t="shared" si="25"/>
        <v>-0.88812752038598697</v>
      </c>
    </row>
    <row r="258" spans="5:10" x14ac:dyDescent="0.35">
      <c r="E258" s="1">
        <f t="shared" si="26"/>
        <v>254</v>
      </c>
      <c r="F258" s="3">
        <f t="shared" si="23"/>
        <v>4.4331363000655974</v>
      </c>
      <c r="G258" s="3">
        <f t="shared" si="21"/>
        <v>-0.2780520065908173</v>
      </c>
      <c r="H258" s="3">
        <f t="shared" si="22"/>
        <v>-4.2038020407617243</v>
      </c>
      <c r="I258" s="3">
        <f t="shared" si="24"/>
        <v>-0.2780520065908173</v>
      </c>
      <c r="J258" s="3">
        <f t="shared" si="25"/>
        <v>-0.84076040815234487</v>
      </c>
    </row>
    <row r="259" spans="5:10" x14ac:dyDescent="0.35">
      <c r="E259" s="1">
        <f t="shared" si="26"/>
        <v>255</v>
      </c>
      <c r="F259" s="3">
        <f t="shared" si="23"/>
        <v>4.4505895925855405</v>
      </c>
      <c r="G259" s="3">
        <f t="shared" si="21"/>
        <v>-0.33978669739093603</v>
      </c>
      <c r="H259" s="3">
        <f t="shared" si="22"/>
        <v>-3.9656859607687629</v>
      </c>
      <c r="I259" s="3">
        <f t="shared" si="24"/>
        <v>-0.33978669739093603</v>
      </c>
      <c r="J259" s="3">
        <f t="shared" si="25"/>
        <v>-0.79313719215375256</v>
      </c>
    </row>
    <row r="260" spans="5:10" x14ac:dyDescent="0.35">
      <c r="E260" s="1">
        <f t="shared" si="26"/>
        <v>256</v>
      </c>
      <c r="F260" s="3">
        <f t="shared" si="23"/>
        <v>4.4680428851054836</v>
      </c>
      <c r="G260" s="3">
        <f t="shared" ref="G260:G323" si="27">$C$29*SIN(F260)*COS($C$24)-$C$28*COS(F260)*SIN($C$24)</f>
        <v>-0.40141788587144178</v>
      </c>
      <c r="H260" s="3">
        <f t="shared" ref="H260:H323" si="28">$C$29*SIN(F260)*SIN($C$24)+$C$28*COS(F260)*COS($C$24)</f>
        <v>-3.7263618944156907</v>
      </c>
      <c r="I260" s="3">
        <f t="shared" si="24"/>
        <v>-0.40141788587144178</v>
      </c>
      <c r="J260" s="3">
        <f t="shared" si="25"/>
        <v>-0.74527237888313813</v>
      </c>
    </row>
    <row r="261" spans="5:10" x14ac:dyDescent="0.35">
      <c r="E261" s="1">
        <f t="shared" si="26"/>
        <v>257</v>
      </c>
      <c r="F261" s="3">
        <f t="shared" ref="F261:F324" si="29">RADIANS(E261)</f>
        <v>4.4854961776254267</v>
      </c>
      <c r="G261" s="3">
        <f t="shared" si="27"/>
        <v>-0.46292679857528851</v>
      </c>
      <c r="H261" s="3">
        <f t="shared" si="28"/>
        <v>-3.485902742131501</v>
      </c>
      <c r="I261" s="3">
        <f t="shared" ref="I261:I324" si="30">G261*1000/($C$5*$C$3^3)</f>
        <v>-0.46292679857528851</v>
      </c>
      <c r="J261" s="3">
        <f t="shared" ref="J261:J324" si="31">H261*1000/($C$5*$C$3^4)</f>
        <v>-0.69718054842630017</v>
      </c>
    </row>
    <row r="262" spans="5:10" x14ac:dyDescent="0.35">
      <c r="E262" s="1">
        <f t="shared" si="26"/>
        <v>258</v>
      </c>
      <c r="F262" s="3">
        <f t="shared" si="29"/>
        <v>4.5029494701453698</v>
      </c>
      <c r="G262" s="3">
        <f t="shared" si="27"/>
        <v>-0.52429469929181671</v>
      </c>
      <c r="H262" s="3">
        <f t="shared" si="28"/>
        <v>-3.2443817501033601</v>
      </c>
      <c r="I262" s="3">
        <f t="shared" si="30"/>
        <v>-0.52429469929181671</v>
      </c>
      <c r="J262" s="3">
        <f t="shared" si="31"/>
        <v>-0.64887635002067201</v>
      </c>
    </row>
    <row r="263" spans="5:10" x14ac:dyDescent="0.35">
      <c r="E263" s="1">
        <f t="shared" si="26"/>
        <v>259</v>
      </c>
      <c r="F263" s="3">
        <f t="shared" si="29"/>
        <v>4.5204027626653138</v>
      </c>
      <c r="G263" s="3">
        <f t="shared" si="27"/>
        <v>-0.58550289476398709</v>
      </c>
      <c r="H263" s="3">
        <f t="shared" si="28"/>
        <v>-3.0018724879650938</v>
      </c>
      <c r="I263" s="3">
        <f t="shared" si="30"/>
        <v>-0.58550289476398709</v>
      </c>
      <c r="J263" s="3">
        <f t="shared" si="31"/>
        <v>-0.60037449759301875</v>
      </c>
    </row>
    <row r="264" spans="5:10" x14ac:dyDescent="0.35">
      <c r="E264" s="1">
        <f t="shared" si="26"/>
        <v>260</v>
      </c>
      <c r="F264" s="3">
        <f t="shared" si="29"/>
        <v>4.5378560551852569</v>
      </c>
      <c r="G264" s="3">
        <f t="shared" si="27"/>
        <v>-0.6465327403825154</v>
      </c>
      <c r="H264" s="3">
        <f t="shared" si="28"/>
        <v>-2.7584488263872129</v>
      </c>
      <c r="I264" s="3">
        <f t="shared" si="30"/>
        <v>-0.6465327403825154</v>
      </c>
      <c r="J264" s="3">
        <f t="shared" si="31"/>
        <v>-0.55168976527744262</v>
      </c>
    </row>
    <row r="265" spans="5:10" x14ac:dyDescent="0.35">
      <c r="E265" s="1">
        <f t="shared" si="26"/>
        <v>261</v>
      </c>
      <c r="F265" s="3">
        <f t="shared" si="29"/>
        <v>4.5553093477052</v>
      </c>
      <c r="G265" s="3">
        <f t="shared" si="27"/>
        <v>-0.70736564586521977</v>
      </c>
      <c r="H265" s="3">
        <f t="shared" si="28"/>
        <v>-2.5141849145751212</v>
      </c>
      <c r="I265" s="3">
        <f t="shared" si="30"/>
        <v>-0.70736564586521977</v>
      </c>
      <c r="J265" s="3">
        <f t="shared" si="31"/>
        <v>-0.50283698291502421</v>
      </c>
    </row>
    <row r="266" spans="5:10" x14ac:dyDescent="0.35">
      <c r="E266" s="1">
        <f t="shared" si="26"/>
        <v>262</v>
      </c>
      <c r="F266" s="3">
        <f t="shared" si="29"/>
        <v>4.5727626402251431</v>
      </c>
      <c r="G266" s="3">
        <f t="shared" si="27"/>
        <v>-0.76798308091978873</v>
      </c>
      <c r="H266" s="3">
        <f t="shared" si="28"/>
        <v>-2.2691551576825941</v>
      </c>
      <c r="I266" s="3">
        <f t="shared" si="30"/>
        <v>-0.76798308091978873</v>
      </c>
      <c r="J266" s="3">
        <f t="shared" si="31"/>
        <v>-0.45383103153651883</v>
      </c>
    </row>
    <row r="267" spans="5:10" x14ac:dyDescent="0.35">
      <c r="E267" s="1">
        <f t="shared" si="26"/>
        <v>263</v>
      </c>
      <c r="F267" s="3">
        <f t="shared" si="29"/>
        <v>4.5902159327450871</v>
      </c>
      <c r="G267" s="3">
        <f t="shared" si="27"/>
        <v>-0.82836658088829351</v>
      </c>
      <c r="H267" s="3">
        <f t="shared" si="28"/>
        <v>-2.0234341941472245</v>
      </c>
      <c r="I267" s="3">
        <f t="shared" si="30"/>
        <v>-0.82836658088829351</v>
      </c>
      <c r="J267" s="3">
        <f t="shared" si="31"/>
        <v>-0.40468683882944489</v>
      </c>
    </row>
    <row r="268" spans="5:10" x14ac:dyDescent="0.35">
      <c r="E268" s="1">
        <f t="shared" si="26"/>
        <v>264</v>
      </c>
      <c r="F268" s="3">
        <f t="shared" si="29"/>
        <v>4.6076692252650302</v>
      </c>
      <c r="G268" s="3">
        <f t="shared" si="27"/>
        <v>-0.88849775237168915</v>
      </c>
      <c r="H268" s="3">
        <f t="shared" si="28"/>
        <v>-1.7770968729548831</v>
      </c>
      <c r="I268" s="3">
        <f t="shared" si="30"/>
        <v>-0.88849775237168915</v>
      </c>
      <c r="J268" s="3">
        <f t="shared" si="31"/>
        <v>-0.35541937459097661</v>
      </c>
    </row>
    <row r="269" spans="5:10" x14ac:dyDescent="0.35">
      <c r="E269" s="1">
        <f t="shared" si="26"/>
        <v>265</v>
      </c>
      <c r="F269" s="3">
        <f t="shared" si="29"/>
        <v>4.6251225177849733</v>
      </c>
      <c r="G269" s="3">
        <f t="shared" si="27"/>
        <v>-0.94835827883264157</v>
      </c>
      <c r="H269" s="3">
        <f t="shared" si="28"/>
        <v>-1.5302182308399153</v>
      </c>
      <c r="I269" s="3">
        <f t="shared" si="30"/>
        <v>-0.94835827883264157</v>
      </c>
      <c r="J269" s="3">
        <f t="shared" si="31"/>
        <v>-0.30604364616798307</v>
      </c>
    </row>
    <row r="270" spans="5:10" x14ac:dyDescent="0.35">
      <c r="E270" s="1">
        <f t="shared" si="26"/>
        <v>266</v>
      </c>
      <c r="F270" s="3">
        <f t="shared" si="29"/>
        <v>4.6425758103049164</v>
      </c>
      <c r="G270" s="3">
        <f t="shared" si="27"/>
        <v>-1.0079299261749086</v>
      </c>
      <c r="H270" s="3">
        <f t="shared" si="28"/>
        <v>-1.2828734694282771</v>
      </c>
      <c r="I270" s="3">
        <f t="shared" si="30"/>
        <v>-1.0079299261749086</v>
      </c>
      <c r="J270" s="3">
        <f t="shared" si="31"/>
        <v>-0.2565746938856554</v>
      </c>
    </row>
    <row r="271" spans="5:10" x14ac:dyDescent="0.35">
      <c r="E271" s="1">
        <f t="shared" si="26"/>
        <v>267</v>
      </c>
      <c r="F271" s="3">
        <f t="shared" si="29"/>
        <v>4.6600291028248595</v>
      </c>
      <c r="G271" s="3">
        <f t="shared" si="27"/>
        <v>-1.0671945482976264</v>
      </c>
      <c r="H271" s="3">
        <f t="shared" si="28"/>
        <v>-1.0351379323303767</v>
      </c>
      <c r="I271" s="3">
        <f t="shared" si="30"/>
        <v>-1.0671945482976264</v>
      </c>
      <c r="J271" s="3">
        <f t="shared" si="31"/>
        <v>-0.2070275864660753</v>
      </c>
    </row>
    <row r="272" spans="5:10" x14ac:dyDescent="0.35">
      <c r="E272" s="1">
        <f t="shared" si="26"/>
        <v>268</v>
      </c>
      <c r="F272" s="3">
        <f t="shared" si="29"/>
        <v>4.6774823953448035</v>
      </c>
      <c r="G272" s="3">
        <f t="shared" si="27"/>
        <v>-1.1261340926227901</v>
      </c>
      <c r="H272" s="3">
        <f t="shared" si="28"/>
        <v>-0.78708708219066958</v>
      </c>
      <c r="I272" s="3">
        <f t="shared" si="30"/>
        <v>-1.1261340926227901</v>
      </c>
      <c r="J272" s="3">
        <f t="shared" si="31"/>
        <v>-0.15741741643813392</v>
      </c>
    </row>
    <row r="273" spans="5:10" x14ac:dyDescent="0.35">
      <c r="E273" s="1">
        <f t="shared" si="26"/>
        <v>269</v>
      </c>
      <c r="F273" s="3">
        <f t="shared" si="29"/>
        <v>4.6949356878647466</v>
      </c>
      <c r="G273" s="3">
        <f t="shared" si="27"/>
        <v>-1.1847306055942317</v>
      </c>
      <c r="H273" s="3">
        <f t="shared" si="28"/>
        <v>-0.53879647770105588</v>
      </c>
      <c r="I273" s="3">
        <f t="shared" si="30"/>
        <v>-1.1847306055942317</v>
      </c>
      <c r="J273" s="3">
        <f t="shared" si="31"/>
        <v>-0.10775929554021117</v>
      </c>
    </row>
    <row r="274" spans="5:10" x14ac:dyDescent="0.35">
      <c r="E274" s="1">
        <f t="shared" si="26"/>
        <v>270</v>
      </c>
      <c r="F274" s="3">
        <f t="shared" si="29"/>
        <v>4.7123889803846897</v>
      </c>
      <c r="G274" s="3">
        <f t="shared" si="27"/>
        <v>-1.2429662381464661</v>
      </c>
      <c r="H274" s="3">
        <f t="shared" si="28"/>
        <v>-0.29034175058489586</v>
      </c>
      <c r="I274" s="3">
        <f t="shared" si="30"/>
        <v>-1.2429662381464661</v>
      </c>
      <c r="J274" s="3">
        <f t="shared" si="31"/>
        <v>-5.8068350116979174E-2</v>
      </c>
    </row>
    <row r="275" spans="5:10" x14ac:dyDescent="0.35">
      <c r="E275" s="1">
        <f t="shared" si="26"/>
        <v>271</v>
      </c>
      <c r="F275" s="3">
        <f t="shared" si="29"/>
        <v>4.7298422729046328</v>
      </c>
      <c r="G275" s="3">
        <f t="shared" si="27"/>
        <v>-1.3008232511416773</v>
      </c>
      <c r="H275" s="3">
        <f t="shared" si="28"/>
        <v>-4.1798582558904007E-2</v>
      </c>
      <c r="I275" s="3">
        <f t="shared" si="30"/>
        <v>-1.3008232511416773</v>
      </c>
      <c r="J275" s="3">
        <f t="shared" si="31"/>
        <v>-8.3597165117808014E-3</v>
      </c>
    </row>
    <row r="276" spans="5:10" x14ac:dyDescent="0.35">
      <c r="E276" s="1">
        <f t="shared" si="26"/>
        <v>272</v>
      </c>
      <c r="F276" s="3">
        <f t="shared" si="29"/>
        <v>4.7472955654245768</v>
      </c>
      <c r="G276" s="3">
        <f t="shared" si="27"/>
        <v>-1.3582840207732356</v>
      </c>
      <c r="H276" s="3">
        <f t="shared" si="28"/>
        <v>0.20675731772025996</v>
      </c>
      <c r="I276" s="3">
        <f t="shared" si="30"/>
        <v>-1.3582840207732356</v>
      </c>
      <c r="J276" s="3">
        <f t="shared" si="31"/>
        <v>4.1351463544051989E-2</v>
      </c>
    </row>
    <row r="277" spans="5:10" x14ac:dyDescent="0.35">
      <c r="E277" s="1">
        <f t="shared" si="26"/>
        <v>273</v>
      </c>
      <c r="F277" s="3">
        <f t="shared" si="29"/>
        <v>4.7647488579445199</v>
      </c>
      <c r="G277" s="3">
        <f t="shared" si="27"/>
        <v>-1.4153310439340707</v>
      </c>
      <c r="H277" s="3">
        <f t="shared" si="28"/>
        <v>0.4552502377175307</v>
      </c>
      <c r="I277" s="3">
        <f t="shared" si="30"/>
        <v>-1.4153310439340707</v>
      </c>
      <c r="J277" s="3">
        <f t="shared" si="31"/>
        <v>9.1050047543506138E-2</v>
      </c>
    </row>
    <row r="278" spans="5:10" x14ac:dyDescent="0.35">
      <c r="E278" s="1">
        <f t="shared" si="26"/>
        <v>274</v>
      </c>
      <c r="F278" s="3">
        <f t="shared" si="29"/>
        <v>4.782202150464463</v>
      </c>
      <c r="G278" s="3">
        <f t="shared" si="27"/>
        <v>-1.4719469435483037</v>
      </c>
      <c r="H278" s="3">
        <f t="shared" si="28"/>
        <v>0.70360448408228438</v>
      </c>
      <c r="I278" s="3">
        <f t="shared" si="30"/>
        <v>-1.4719469435483037</v>
      </c>
      <c r="J278" s="3">
        <f t="shared" si="31"/>
        <v>0.14072089681645686</v>
      </c>
    </row>
    <row r="279" spans="5:10" x14ac:dyDescent="0.35">
      <c r="E279" s="1">
        <f t="shared" si="26"/>
        <v>275</v>
      </c>
      <c r="F279" s="3">
        <f t="shared" si="29"/>
        <v>4.7996554429844061</v>
      </c>
      <c r="G279" s="3">
        <f t="shared" si="27"/>
        <v>-1.5281144738644616</v>
      </c>
      <c r="H279" s="3">
        <f t="shared" si="28"/>
        <v>0.9517444057052169</v>
      </c>
      <c r="I279" s="3">
        <f t="shared" si="30"/>
        <v>-1.5281144738644616</v>
      </c>
      <c r="J279" s="3">
        <f t="shared" si="31"/>
        <v>0.19034888114104337</v>
      </c>
    </row>
    <row r="280" spans="5:10" x14ac:dyDescent="0.35">
      <c r="E280" s="1">
        <f t="shared" si="26"/>
        <v>276</v>
      </c>
      <c r="F280" s="3">
        <f t="shared" si="29"/>
        <v>4.8171087355043491</v>
      </c>
      <c r="G280" s="3">
        <f t="shared" si="27"/>
        <v>-1.5838165257087033</v>
      </c>
      <c r="H280" s="3">
        <f t="shared" si="28"/>
        <v>1.1995944167624164</v>
      </c>
      <c r="I280" s="3">
        <f t="shared" si="30"/>
        <v>-1.5838165257087033</v>
      </c>
      <c r="J280" s="3">
        <f t="shared" si="31"/>
        <v>0.23991888335248326</v>
      </c>
    </row>
    <row r="281" spans="5:10" x14ac:dyDescent="0.35">
      <c r="E281" s="1">
        <f t="shared" si="26"/>
        <v>277</v>
      </c>
      <c r="F281" s="3">
        <f t="shared" si="29"/>
        <v>4.8345620280242931</v>
      </c>
      <c r="G281" s="3">
        <f t="shared" si="27"/>
        <v>-1.6390361316964417</v>
      </c>
      <c r="H281" s="3">
        <f t="shared" si="28"/>
        <v>1.4470790197395511</v>
      </c>
      <c r="I281" s="3">
        <f t="shared" si="30"/>
        <v>-1.6390361316964417</v>
      </c>
      <c r="J281" s="3">
        <f t="shared" si="31"/>
        <v>0.28941580394791022</v>
      </c>
    </row>
    <row r="282" spans="5:10" x14ac:dyDescent="0.35">
      <c r="E282" s="1">
        <f t="shared" si="26"/>
        <v>278</v>
      </c>
      <c r="F282" s="3">
        <f t="shared" si="29"/>
        <v>4.8520153205442362</v>
      </c>
      <c r="G282" s="3">
        <f t="shared" si="27"/>
        <v>-1.6937564714007634</v>
      </c>
      <c r="H282" s="3">
        <f t="shared" si="28"/>
        <v>1.694122828429091</v>
      </c>
      <c r="I282" s="3">
        <f t="shared" si="30"/>
        <v>-1.6937564714007634</v>
      </c>
      <c r="J282" s="3">
        <f t="shared" si="31"/>
        <v>0.3388245656858182</v>
      </c>
    </row>
    <row r="283" spans="5:10" x14ac:dyDescent="0.35">
      <c r="E283" s="1">
        <f t="shared" si="26"/>
        <v>279</v>
      </c>
      <c r="F283" s="3">
        <f t="shared" si="29"/>
        <v>4.8694686130641793</v>
      </c>
      <c r="G283" s="3">
        <f t="shared" si="27"/>
        <v>-1.7479608764761085</v>
      </c>
      <c r="H283" s="3">
        <f t="shared" si="28"/>
        <v>1.940650590893755</v>
      </c>
      <c r="I283" s="3">
        <f t="shared" si="30"/>
        <v>-1.7479608764761085</v>
      </c>
      <c r="J283" s="3">
        <f t="shared" si="31"/>
        <v>0.38813011817875098</v>
      </c>
    </row>
    <row r="284" spans="5:10" x14ac:dyDescent="0.35">
      <c r="E284" s="1">
        <f t="shared" si="26"/>
        <v>280</v>
      </c>
      <c r="F284" s="3">
        <f t="shared" si="29"/>
        <v>4.8869219055841224</v>
      </c>
      <c r="G284" s="3">
        <f t="shared" si="27"/>
        <v>-1.8016328357356017</v>
      </c>
      <c r="H284" s="3">
        <f t="shared" si="28"/>
        <v>2.1865872123889289</v>
      </c>
      <c r="I284" s="3">
        <f t="shared" si="30"/>
        <v>-1.8016328357356017</v>
      </c>
      <c r="J284" s="3">
        <f t="shared" si="31"/>
        <v>0.43731744247778581</v>
      </c>
    </row>
    <row r="285" spans="5:10" x14ac:dyDescent="0.35">
      <c r="E285" s="1">
        <f t="shared" si="26"/>
        <v>281</v>
      </c>
      <c r="F285" s="3">
        <f t="shared" si="29"/>
        <v>4.9043751981040664</v>
      </c>
      <c r="G285" s="3">
        <f t="shared" si="27"/>
        <v>-1.8547560001805237</v>
      </c>
      <c r="H285" s="3">
        <f t="shared" si="28"/>
        <v>2.431857778237275</v>
      </c>
      <c r="I285" s="3">
        <f t="shared" si="30"/>
        <v>-1.8547560001805237</v>
      </c>
      <c r="J285" s="3">
        <f t="shared" si="31"/>
        <v>0.48637155564745499</v>
      </c>
    </row>
    <row r="286" spans="5:10" x14ac:dyDescent="0.35">
      <c r="E286" s="1">
        <f t="shared" si="26"/>
        <v>282</v>
      </c>
      <c r="F286" s="3">
        <f t="shared" si="29"/>
        <v>4.9218284906240095</v>
      </c>
      <c r="G286" s="3">
        <f t="shared" si="27"/>
        <v>-1.9073141879803628</v>
      </c>
      <c r="H286" s="3">
        <f t="shared" si="28"/>
        <v>2.6763875766484224</v>
      </c>
      <c r="I286" s="3">
        <f t="shared" si="30"/>
        <v>-1.9073141879803628</v>
      </c>
      <c r="J286" s="3">
        <f t="shared" si="31"/>
        <v>0.53527751532968448</v>
      </c>
    </row>
    <row r="287" spans="5:10" x14ac:dyDescent="0.35">
      <c r="E287" s="1">
        <f t="shared" si="26"/>
        <v>283</v>
      </c>
      <c r="F287" s="3">
        <f t="shared" si="29"/>
        <v>4.9392817831439526</v>
      </c>
      <c r="G287" s="3">
        <f t="shared" si="27"/>
        <v>-1.9592913894019763</v>
      </c>
      <c r="H287" s="3">
        <f t="shared" si="28"/>
        <v>2.9201021214769747</v>
      </c>
      <c r="I287" s="3">
        <f t="shared" si="30"/>
        <v>-1.9592913894019763</v>
      </c>
      <c r="J287" s="3">
        <f t="shared" si="31"/>
        <v>0.58402042429539502</v>
      </c>
    </row>
    <row r="288" spans="5:10" x14ac:dyDescent="0.35">
      <c r="E288" s="1">
        <f t="shared" si="26"/>
        <v>284</v>
      </c>
      <c r="F288" s="3">
        <f t="shared" si="29"/>
        <v>4.9567350756638957</v>
      </c>
      <c r="G288" s="3">
        <f t="shared" si="27"/>
        <v>-2.0106717716862956</v>
      </c>
      <c r="H288" s="3">
        <f t="shared" si="28"/>
        <v>3.1629271749116596</v>
      </c>
      <c r="I288" s="3">
        <f t="shared" si="30"/>
        <v>-2.0106717716862956</v>
      </c>
      <c r="J288" s="3">
        <f t="shared" si="31"/>
        <v>0.63258543498233188</v>
      </c>
    </row>
    <row r="289" spans="5:10" x14ac:dyDescent="0.35">
      <c r="E289" s="1">
        <f t="shared" si="26"/>
        <v>285</v>
      </c>
      <c r="F289" s="3">
        <f t="shared" si="29"/>
        <v>4.9741883681838388</v>
      </c>
      <c r="G289" s="3">
        <f t="shared" si="27"/>
        <v>-2.0614396838711446</v>
      </c>
      <c r="H289" s="3">
        <f t="shared" si="28"/>
        <v>3.4047887700889037</v>
      </c>
      <c r="I289" s="3">
        <f t="shared" si="30"/>
        <v>-2.0614396838711446</v>
      </c>
      <c r="J289" s="3">
        <f t="shared" si="31"/>
        <v>0.68095775401778069</v>
      </c>
    </row>
    <row r="290" spans="5:10" x14ac:dyDescent="0.35">
      <c r="E290" s="1">
        <f t="shared" si="26"/>
        <v>286</v>
      </c>
      <c r="F290" s="3">
        <f t="shared" si="29"/>
        <v>4.9916416607037828</v>
      </c>
      <c r="G290" s="3">
        <f t="shared" si="27"/>
        <v>-2.1115796615586744</v>
      </c>
      <c r="H290" s="3">
        <f t="shared" si="28"/>
        <v>3.6456132336238611</v>
      </c>
      <c r="I290" s="3">
        <f t="shared" si="30"/>
        <v>-2.1115796615586744</v>
      </c>
      <c r="J290" s="3">
        <f t="shared" si="31"/>
        <v>0.72912264672477223</v>
      </c>
    </row>
    <row r="291" spans="5:10" x14ac:dyDescent="0.35">
      <c r="E291" s="1">
        <f t="shared" si="26"/>
        <v>287</v>
      </c>
      <c r="F291" s="3">
        <f t="shared" si="29"/>
        <v>5.0090949532237259</v>
      </c>
      <c r="G291" s="3">
        <f t="shared" si="27"/>
        <v>-2.1610764316259594</v>
      </c>
      <c r="H291" s="3">
        <f t="shared" si="28"/>
        <v>3.8853272080519963</v>
      </c>
      <c r="I291" s="3">
        <f t="shared" si="30"/>
        <v>-2.1610764316259594</v>
      </c>
      <c r="J291" s="3">
        <f t="shared" si="31"/>
        <v>0.77706544161039925</v>
      </c>
    </row>
    <row r="292" spans="5:10" x14ac:dyDescent="0.35">
      <c r="E292" s="1">
        <f t="shared" si="26"/>
        <v>288</v>
      </c>
      <c r="F292" s="3">
        <f t="shared" si="29"/>
        <v>5.026548245743669</v>
      </c>
      <c r="G292" s="3">
        <f t="shared" si="27"/>
        <v>-2.2099149168773535</v>
      </c>
      <c r="H292" s="3">
        <f t="shared" si="28"/>
        <v>4.1238576741745483</v>
      </c>
      <c r="I292" s="3">
        <f t="shared" si="30"/>
        <v>-2.2099149168773535</v>
      </c>
      <c r="J292" s="3">
        <f t="shared" si="31"/>
        <v>0.82477153483490961</v>
      </c>
    </row>
    <row r="293" spans="5:10" x14ac:dyDescent="0.35">
      <c r="E293" s="1">
        <f t="shared" si="26"/>
        <v>289</v>
      </c>
      <c r="F293" s="3">
        <f t="shared" si="29"/>
        <v>5.0440015382636121</v>
      </c>
      <c r="G293" s="3">
        <f t="shared" si="27"/>
        <v>-2.258080240637141</v>
      </c>
      <c r="H293" s="3">
        <f t="shared" si="28"/>
        <v>4.361131973300842</v>
      </c>
      <c r="I293" s="3">
        <f t="shared" si="30"/>
        <v>-2.258080240637141</v>
      </c>
      <c r="J293" s="3">
        <f t="shared" si="31"/>
        <v>0.87222639466016849</v>
      </c>
    </row>
    <row r="294" spans="5:10" x14ac:dyDescent="0.35">
      <c r="E294" s="1">
        <f t="shared" si="26"/>
        <v>290</v>
      </c>
      <c r="F294" s="3">
        <f t="shared" si="29"/>
        <v>5.0614548307835561</v>
      </c>
      <c r="G294" s="3">
        <f t="shared" si="27"/>
        <v>-2.3055577312811173</v>
      </c>
      <c r="H294" s="3">
        <f t="shared" si="28"/>
        <v>4.5970778293808445</v>
      </c>
      <c r="I294" s="3">
        <f t="shared" si="30"/>
        <v>-2.3055577312811173</v>
      </c>
      <c r="J294" s="3">
        <f t="shared" si="31"/>
        <v>0.91941556587616891</v>
      </c>
    </row>
    <row r="295" spans="5:10" x14ac:dyDescent="0.35">
      <c r="E295" s="1">
        <f t="shared" si="26"/>
        <v>291</v>
      </c>
      <c r="F295" s="3">
        <f t="shared" si="29"/>
        <v>5.0789081233034992</v>
      </c>
      <c r="G295" s="3">
        <f t="shared" si="27"/>
        <v>-2.3523329267057047</v>
      </c>
      <c r="H295" s="3">
        <f t="shared" si="28"/>
        <v>4.8316233710211147</v>
      </c>
      <c r="I295" s="3">
        <f t="shared" si="30"/>
        <v>-2.3523329267057047</v>
      </c>
      <c r="J295" s="3">
        <f t="shared" si="31"/>
        <v>0.96632467420422286</v>
      </c>
    </row>
    <row r="296" spans="5:10" x14ac:dyDescent="0.35">
      <c r="E296" s="1">
        <f t="shared" si="26"/>
        <v>292</v>
      </c>
      <c r="F296" s="3">
        <f t="shared" si="29"/>
        <v>5.0963614158234423</v>
      </c>
      <c r="G296" s="3">
        <f t="shared" si="27"/>
        <v>-2.3983915787332561</v>
      </c>
      <c r="H296" s="3">
        <f t="shared" si="28"/>
        <v>5.0646971533775833</v>
      </c>
      <c r="I296" s="3">
        <f t="shared" si="30"/>
        <v>-2.3983915787332561</v>
      </c>
      <c r="J296" s="3">
        <f t="shared" si="31"/>
        <v>1.0129394306755166</v>
      </c>
    </row>
    <row r="297" spans="5:10" x14ac:dyDescent="0.35">
      <c r="E297" s="1">
        <f t="shared" si="26"/>
        <v>293</v>
      </c>
      <c r="F297" s="3">
        <f t="shared" si="29"/>
        <v>5.1138147083433854</v>
      </c>
      <c r="G297" s="3">
        <f t="shared" si="27"/>
        <v>-2.4437196574521844</v>
      </c>
      <c r="H297" s="3">
        <f t="shared" si="28"/>
        <v>5.2962281799183106</v>
      </c>
      <c r="I297" s="3">
        <f t="shared" si="30"/>
        <v>-2.4437196574521844</v>
      </c>
      <c r="J297" s="3">
        <f t="shared" si="31"/>
        <v>1.0592456359836622</v>
      </c>
    </row>
    <row r="298" spans="5:10" x14ac:dyDescent="0.35">
      <c r="E298" s="1">
        <f t="shared" si="26"/>
        <v>294</v>
      </c>
      <c r="F298" s="3">
        <f t="shared" si="29"/>
        <v>5.1312680008633285</v>
      </c>
      <c r="G298" s="3">
        <f t="shared" si="27"/>
        <v>-2.4883033554906091</v>
      </c>
      <c r="H298" s="3">
        <f t="shared" si="28"/>
        <v>5.5261459240497208</v>
      </c>
      <c r="I298" s="3">
        <f t="shared" si="30"/>
        <v>-2.4883033554906091</v>
      </c>
      <c r="J298" s="3">
        <f t="shared" si="31"/>
        <v>1.105229184809944</v>
      </c>
    </row>
    <row r="299" spans="5:10" x14ac:dyDescent="0.35">
      <c r="E299" s="1">
        <f t="shared" si="26"/>
        <v>295</v>
      </c>
      <c r="F299" s="3">
        <f t="shared" si="29"/>
        <v>5.1487212933832724</v>
      </c>
      <c r="G299" s="3">
        <f t="shared" si="27"/>
        <v>-2.5321290922222177</v>
      </c>
      <c r="H299" s="3">
        <f t="shared" si="28"/>
        <v>5.7543803505996989</v>
      </c>
      <c r="I299" s="3">
        <f t="shared" si="30"/>
        <v>-2.5321290922222177</v>
      </c>
      <c r="J299" s="3">
        <f t="shared" si="31"/>
        <v>1.1508760701199396</v>
      </c>
    </row>
    <row r="300" spans="5:10" x14ac:dyDescent="0.35">
      <c r="E300" s="1">
        <f t="shared" si="26"/>
        <v>296</v>
      </c>
      <c r="F300" s="3">
        <f t="shared" si="29"/>
        <v>5.1661745859032155</v>
      </c>
      <c r="G300" s="3">
        <f t="shared" si="27"/>
        <v>-2.575183517903048</v>
      </c>
      <c r="H300" s="3">
        <f t="shared" si="28"/>
        <v>5.9808619371509399</v>
      </c>
      <c r="I300" s="3">
        <f t="shared" si="30"/>
        <v>-2.575183517903048</v>
      </c>
      <c r="J300" s="3">
        <f t="shared" si="31"/>
        <v>1.1961723874301882</v>
      </c>
    </row>
    <row r="301" spans="5:10" x14ac:dyDescent="0.35">
      <c r="E301" s="1">
        <f t="shared" si="26"/>
        <v>297</v>
      </c>
      <c r="F301" s="3">
        <f t="shared" si="29"/>
        <v>5.1836278784231586</v>
      </c>
      <c r="G301" s="3">
        <f t="shared" si="27"/>
        <v>-2.6174535177379621</v>
      </c>
      <c r="H301" s="3">
        <f t="shared" si="28"/>
        <v>6.2055216952182137</v>
      </c>
      <c r="I301" s="3">
        <f t="shared" si="30"/>
        <v>-2.6174535177379621</v>
      </c>
      <c r="J301" s="3">
        <f t="shared" si="31"/>
        <v>1.2411043390436427</v>
      </c>
    </row>
    <row r="302" spans="5:10" x14ac:dyDescent="0.35">
      <c r="E302" s="1">
        <f t="shared" si="26"/>
        <v>298</v>
      </c>
      <c r="F302" s="3">
        <f t="shared" si="29"/>
        <v>5.2010811709431017</v>
      </c>
      <c r="G302" s="3">
        <f t="shared" si="27"/>
        <v>-2.6589262158755318</v>
      </c>
      <c r="H302" s="3">
        <f t="shared" si="28"/>
        <v>6.4282911912628853</v>
      </c>
      <c r="I302" s="3">
        <f t="shared" si="30"/>
        <v>-2.6589262158755318</v>
      </c>
      <c r="J302" s="3">
        <f t="shared" si="31"/>
        <v>1.285658238252577</v>
      </c>
    </row>
    <row r="303" spans="5:10" x14ac:dyDescent="0.35">
      <c r="E303" s="1">
        <f t="shared" si="26"/>
        <v>299</v>
      </c>
      <c r="F303" s="3">
        <f t="shared" si="29"/>
        <v>5.2185344634630457</v>
      </c>
      <c r="G303" s="3">
        <f t="shared" si="27"/>
        <v>-2.6995889793301506</v>
      </c>
      <c r="H303" s="3">
        <f t="shared" si="28"/>
        <v>6.6491025675384545</v>
      </c>
      <c r="I303" s="3">
        <f t="shared" si="30"/>
        <v>-2.6995889793301506</v>
      </c>
      <c r="J303" s="3">
        <f t="shared" si="31"/>
        <v>1.3298205135076908</v>
      </c>
    </row>
    <row r="304" spans="5:10" x14ac:dyDescent="0.35">
      <c r="E304" s="1">
        <f t="shared" si="26"/>
        <v>300</v>
      </c>
      <c r="F304" s="3">
        <f t="shared" si="29"/>
        <v>5.2359877559829888</v>
      </c>
      <c r="G304" s="3">
        <f t="shared" si="27"/>
        <v>-2.7394294218301587</v>
      </c>
      <c r="H304" s="3">
        <f t="shared" si="28"/>
        <v>6.8678885627606379</v>
      </c>
      <c r="I304" s="3">
        <f t="shared" si="30"/>
        <v>-2.7394294218301587</v>
      </c>
      <c r="J304" s="3">
        <f t="shared" si="31"/>
        <v>1.3735777125521276</v>
      </c>
    </row>
    <row r="305" spans="5:10" x14ac:dyDescent="0.35">
      <c r="E305" s="1">
        <f t="shared" si="26"/>
        <v>301</v>
      </c>
      <c r="F305" s="3">
        <f t="shared" si="29"/>
        <v>5.2534410485029319</v>
      </c>
      <c r="G305" s="3">
        <f t="shared" si="27"/>
        <v>-2.7784354075908277</v>
      </c>
      <c r="H305" s="3">
        <f t="shared" si="28"/>
        <v>7.0845825325958716</v>
      </c>
      <c r="I305" s="3">
        <f t="shared" si="30"/>
        <v>-2.7784354075908277</v>
      </c>
      <c r="J305" s="3">
        <f t="shared" si="31"/>
        <v>1.4169165065191742</v>
      </c>
    </row>
    <row r="306" spans="5:10" x14ac:dyDescent="0.35">
      <c r="E306" s="1">
        <f t="shared" si="26"/>
        <v>302</v>
      </c>
      <c r="F306" s="3">
        <f t="shared" si="29"/>
        <v>5.270894341022875</v>
      </c>
      <c r="G306" s="3">
        <f t="shared" si="27"/>
        <v>-2.816595055011037</v>
      </c>
      <c r="H306" s="3">
        <f t="shared" si="28"/>
        <v>7.2991184699617868</v>
      </c>
      <c r="I306" s="3">
        <f t="shared" si="30"/>
        <v>-2.816595055011037</v>
      </c>
      <c r="J306" s="3">
        <f t="shared" si="31"/>
        <v>1.4598236939923575</v>
      </c>
    </row>
    <row r="307" spans="5:10" x14ac:dyDescent="0.35">
      <c r="E307" s="1">
        <f t="shared" si="26"/>
        <v>303</v>
      </c>
      <c r="F307" s="3">
        <f t="shared" si="29"/>
        <v>5.2883476335428181</v>
      </c>
      <c r="G307" s="3">
        <f t="shared" si="27"/>
        <v>-2.8538967402925208</v>
      </c>
      <c r="H307" s="3">
        <f t="shared" si="28"/>
        <v>7.5114310251336027</v>
      </c>
      <c r="I307" s="3">
        <f t="shared" si="30"/>
        <v>-2.8538967402925208</v>
      </c>
      <c r="J307" s="3">
        <f t="shared" si="31"/>
        <v>1.5022862050267205</v>
      </c>
    </row>
    <row r="308" spans="5:10" x14ac:dyDescent="0.35">
      <c r="E308" s="1">
        <f t="shared" si="26"/>
        <v>304</v>
      </c>
      <c r="F308" s="3">
        <f t="shared" si="29"/>
        <v>5.3058009260627621</v>
      </c>
      <c r="G308" s="3">
        <f t="shared" si="27"/>
        <v>-2.8903291009805949</v>
      </c>
      <c r="H308" s="3">
        <f t="shared" si="28"/>
        <v>7.7214555256503079</v>
      </c>
      <c r="I308" s="3">
        <f t="shared" si="30"/>
        <v>-2.8903291009805949</v>
      </c>
      <c r="J308" s="3">
        <f t="shared" si="31"/>
        <v>1.5442911051300616</v>
      </c>
    </row>
    <row r="309" spans="5:10" x14ac:dyDescent="0.35">
      <c r="E309" s="1">
        <f t="shared" si="26"/>
        <v>305</v>
      </c>
      <c r="F309" s="3">
        <f t="shared" si="29"/>
        <v>5.3232542185827052</v>
      </c>
      <c r="G309" s="3">
        <f t="shared" si="27"/>
        <v>-2.9258810394252617</v>
      </c>
      <c r="H309" s="3">
        <f t="shared" si="28"/>
        <v>7.9291279960144694</v>
      </c>
      <c r="I309" s="3">
        <f t="shared" si="30"/>
        <v>-2.9258810394252617</v>
      </c>
      <c r="J309" s="3">
        <f t="shared" si="31"/>
        <v>1.5858255992028938</v>
      </c>
    </row>
    <row r="310" spans="5:10" x14ac:dyDescent="0.35">
      <c r="E310" s="1">
        <f t="shared" si="26"/>
        <v>306</v>
      </c>
      <c r="F310" s="3">
        <f t="shared" si="29"/>
        <v>5.3407075111026483</v>
      </c>
      <c r="G310" s="3">
        <f t="shared" si="27"/>
        <v>-2.9605417261616731</v>
      </c>
      <c r="H310" s="3">
        <f t="shared" si="28"/>
        <v>8.1343851771798565</v>
      </c>
      <c r="I310" s="3">
        <f t="shared" si="30"/>
        <v>-2.9605417261616731</v>
      </c>
      <c r="J310" s="3">
        <f t="shared" si="31"/>
        <v>1.6268770354359712</v>
      </c>
    </row>
    <row r="311" spans="5:10" x14ac:dyDescent="0.35">
      <c r="E311" s="1">
        <f t="shared" si="26"/>
        <v>307</v>
      </c>
      <c r="F311" s="3">
        <f t="shared" si="29"/>
        <v>5.3581608036225914</v>
      </c>
      <c r="G311" s="3">
        <f t="shared" si="27"/>
        <v>-2.994300603208885</v>
      </c>
      <c r="H311" s="3">
        <f t="shared" si="28"/>
        <v>8.337164545820718</v>
      </c>
      <c r="I311" s="3">
        <f t="shared" si="30"/>
        <v>-2.994300603208885</v>
      </c>
      <c r="J311" s="3">
        <f t="shared" si="31"/>
        <v>1.6674329091641438</v>
      </c>
    </row>
    <row r="312" spans="5:10" x14ac:dyDescent="0.35">
      <c r="E312" s="1">
        <f t="shared" si="26"/>
        <v>308</v>
      </c>
      <c r="F312" s="3">
        <f t="shared" si="29"/>
        <v>5.3756140961425354</v>
      </c>
      <c r="G312" s="3">
        <f t="shared" si="27"/>
        <v>-3.0271473872859191</v>
      </c>
      <c r="H312" s="3">
        <f t="shared" si="28"/>
        <v>8.5374043333770064</v>
      </c>
      <c r="I312" s="3">
        <f t="shared" si="30"/>
        <v>-3.0271473872859191</v>
      </c>
      <c r="J312" s="3">
        <f t="shared" si="31"/>
        <v>1.7074808666754011</v>
      </c>
    </row>
    <row r="313" spans="5:10" x14ac:dyDescent="0.35">
      <c r="E313" s="1">
        <f t="shared" si="26"/>
        <v>309</v>
      </c>
      <c r="F313" s="3">
        <f t="shared" si="29"/>
        <v>5.3930673886624785</v>
      </c>
      <c r="G313" s="3">
        <f t="shared" si="27"/>
        <v>-3.059072072944149</v>
      </c>
      <c r="H313" s="3">
        <f t="shared" si="28"/>
        <v>8.735043544869642</v>
      </c>
      <c r="I313" s="3">
        <f t="shared" si="30"/>
        <v>-3.059072072944149</v>
      </c>
      <c r="J313" s="3">
        <f t="shared" si="31"/>
        <v>1.7470087089739286</v>
      </c>
    </row>
    <row r="314" spans="5:10" x14ac:dyDescent="0.35">
      <c r="E314" s="1">
        <f t="shared" si="26"/>
        <v>310</v>
      </c>
      <c r="F314" s="3">
        <f t="shared" si="29"/>
        <v>5.4105206811824216</v>
      </c>
      <c r="G314" s="3">
        <f t="shared" si="27"/>
        <v>-3.0900649356150645</v>
      </c>
      <c r="H314" s="3">
        <f t="shared" si="28"/>
        <v>8.9300219774802478</v>
      </c>
      <c r="I314" s="3">
        <f t="shared" si="30"/>
        <v>-3.0900649356150645</v>
      </c>
      <c r="J314" s="3">
        <f t="shared" si="31"/>
        <v>1.7860043954960496</v>
      </c>
    </row>
    <row r="315" spans="5:10" x14ac:dyDescent="0.35">
      <c r="E315" s="1">
        <f t="shared" si="26"/>
        <v>311</v>
      </c>
      <c r="F315" s="3">
        <f t="shared" si="29"/>
        <v>5.4279739737023647</v>
      </c>
      <c r="G315" s="3">
        <f t="shared" si="27"/>
        <v>-3.1201165345724595</v>
      </c>
      <c r="H315" s="3">
        <f t="shared" si="28"/>
        <v>9.1222802388894468</v>
      </c>
      <c r="I315" s="3">
        <f t="shared" si="30"/>
        <v>-3.1201165345724595</v>
      </c>
      <c r="J315" s="3">
        <f t="shared" si="31"/>
        <v>1.8244560477778895</v>
      </c>
    </row>
    <row r="316" spans="5:10" x14ac:dyDescent="0.35">
      <c r="E316" s="1">
        <f t="shared" si="26"/>
        <v>312</v>
      </c>
      <c r="F316" s="3">
        <f t="shared" si="29"/>
        <v>5.4454272662223078</v>
      </c>
      <c r="G316" s="3">
        <f t="shared" si="27"/>
        <v>-3.1492177158081764</v>
      </c>
      <c r="H316" s="3">
        <f t="shared" si="28"/>
        <v>9.3117597653683646</v>
      </c>
      <c r="I316" s="3">
        <f t="shared" si="30"/>
        <v>-3.1492177158081764</v>
      </c>
      <c r="J316" s="3">
        <f t="shared" si="31"/>
        <v>1.8623519530736727</v>
      </c>
    </row>
    <row r="317" spans="5:10" x14ac:dyDescent="0.35">
      <c r="E317" s="1">
        <f t="shared" si="26"/>
        <v>313</v>
      </c>
      <c r="F317" s="3">
        <f t="shared" si="29"/>
        <v>5.4628805587422518</v>
      </c>
      <c r="G317" s="3">
        <f t="shared" si="27"/>
        <v>-3.1773596148205021</v>
      </c>
      <c r="H317" s="3">
        <f t="shared" si="28"/>
        <v>9.498402839617718</v>
      </c>
      <c r="I317" s="3">
        <f t="shared" si="30"/>
        <v>-3.1773596148205021</v>
      </c>
      <c r="J317" s="3">
        <f t="shared" si="31"/>
        <v>1.8996805679235436</v>
      </c>
    </row>
    <row r="318" spans="5:10" x14ac:dyDescent="0.35">
      <c r="E318" s="1">
        <f t="shared" si="26"/>
        <v>314</v>
      </c>
      <c r="F318" s="3">
        <f t="shared" si="29"/>
        <v>5.4803338512621949</v>
      </c>
      <c r="G318" s="3">
        <f t="shared" si="27"/>
        <v>-3.2045336593143787</v>
      </c>
      <c r="H318" s="3">
        <f t="shared" si="28"/>
        <v>9.6821526083490212</v>
      </c>
      <c r="I318" s="3">
        <f t="shared" si="30"/>
        <v>-3.2045336593143787</v>
      </c>
      <c r="J318" s="3">
        <f t="shared" si="31"/>
        <v>1.9364305216698041</v>
      </c>
    </row>
    <row r="319" spans="5:10" x14ac:dyDescent="0.35">
      <c r="E319" s="1">
        <f t="shared" si="26"/>
        <v>315</v>
      </c>
      <c r="F319" s="3">
        <f t="shared" si="29"/>
        <v>5.497787143782138</v>
      </c>
      <c r="G319" s="3">
        <f t="shared" si="27"/>
        <v>-3.2307315718126137</v>
      </c>
      <c r="H319" s="3">
        <f t="shared" si="28"/>
        <v>9.8629530996027057</v>
      </c>
      <c r="I319" s="3">
        <f t="shared" si="30"/>
        <v>-3.2307315718126137</v>
      </c>
      <c r="J319" s="3">
        <f t="shared" si="31"/>
        <v>1.9725906199205412</v>
      </c>
    </row>
    <row r="320" spans="5:10" x14ac:dyDescent="0.35">
      <c r="E320" s="1">
        <f t="shared" si="26"/>
        <v>316</v>
      </c>
      <c r="F320" s="3">
        <f t="shared" si="29"/>
        <v>5.5152404363020811</v>
      </c>
      <c r="G320" s="3">
        <f t="shared" si="27"/>
        <v>-3.2559453721772753</v>
      </c>
      <c r="H320" s="3">
        <f t="shared" si="28"/>
        <v>10.040749239797675</v>
      </c>
      <c r="I320" s="3">
        <f t="shared" si="30"/>
        <v>-3.2559453721772753</v>
      </c>
      <c r="J320" s="3">
        <f t="shared" si="31"/>
        <v>2.008149847959535</v>
      </c>
    </row>
    <row r="321" spans="5:10" x14ac:dyDescent="0.35">
      <c r="E321" s="1">
        <f t="shared" ref="E321:E364" si="32">E320+1</f>
        <v>317</v>
      </c>
      <c r="F321" s="3">
        <f t="shared" si="29"/>
        <v>5.532693728822025</v>
      </c>
      <c r="G321" s="3">
        <f t="shared" si="27"/>
        <v>-3.2801673800405213</v>
      </c>
      <c r="H321" s="3">
        <f t="shared" si="28"/>
        <v>10.215486870507291</v>
      </c>
      <c r="I321" s="3">
        <f t="shared" si="30"/>
        <v>-3.2801673800405213</v>
      </c>
      <c r="J321" s="3">
        <f t="shared" si="31"/>
        <v>2.0430973741014582</v>
      </c>
    </row>
    <row r="322" spans="5:10" x14ac:dyDescent="0.35">
      <c r="E322" s="1">
        <f t="shared" si="32"/>
        <v>318</v>
      </c>
      <c r="F322" s="3">
        <f t="shared" si="29"/>
        <v>5.5501470213419681</v>
      </c>
      <c r="G322" s="3">
        <f t="shared" si="27"/>
        <v>-3.3033902171441114</v>
      </c>
      <c r="H322" s="3">
        <f t="shared" si="28"/>
        <v>10.387112764956498</v>
      </c>
      <c r="I322" s="3">
        <f t="shared" si="30"/>
        <v>-3.3033902171441114</v>
      </c>
      <c r="J322" s="3">
        <f t="shared" si="31"/>
        <v>2.0774225529912997</v>
      </c>
    </row>
    <row r="323" spans="5:10" x14ac:dyDescent="0.35">
      <c r="E323" s="1">
        <f t="shared" si="32"/>
        <v>319</v>
      </c>
      <c r="F323" s="3">
        <f t="shared" si="29"/>
        <v>5.5676003138619112</v>
      </c>
      <c r="G323" s="3">
        <f t="shared" si="27"/>
        <v>-3.3256068095868994</v>
      </c>
      <c r="H323" s="3">
        <f t="shared" si="28"/>
        <v>10.555574644235278</v>
      </c>
      <c r="I323" s="3">
        <f t="shared" si="30"/>
        <v>-3.3256068095868994</v>
      </c>
      <c r="J323" s="3">
        <f t="shared" si="31"/>
        <v>2.1111149288470559</v>
      </c>
    </row>
    <row r="324" spans="5:10" x14ac:dyDescent="0.35">
      <c r="E324" s="1">
        <f t="shared" si="32"/>
        <v>320</v>
      </c>
      <c r="F324" s="3">
        <f t="shared" si="29"/>
        <v>5.5850536063818543</v>
      </c>
      <c r="G324" s="3">
        <f t="shared" ref="G324:G387" si="33">$C$29*SIN(F324)*COS($C$24)-$C$28*COS(F324)*SIN($C$24)</f>
        <v>-3.3468103899796109</v>
      </c>
      <c r="H324" s="3">
        <f t="shared" ref="H324:H364" si="34">$C$29*SIN(F324)*SIN($C$24)+$C$28*COS(F324)*COS($C$24)</f>
        <v>10.720821193223276</v>
      </c>
      <c r="I324" s="3">
        <f t="shared" si="30"/>
        <v>-3.3468103899796109</v>
      </c>
      <c r="J324" s="3">
        <f t="shared" si="31"/>
        <v>2.1441642386446556</v>
      </c>
    </row>
    <row r="325" spans="5:10" x14ac:dyDescent="0.35">
      <c r="E325" s="1">
        <f t="shared" si="32"/>
        <v>321</v>
      </c>
      <c r="F325" s="3">
        <f t="shared" ref="F325:F364" si="35">RADIANS(E325)</f>
        <v>5.6025068989017974</v>
      </c>
      <c r="G325" s="3">
        <f t="shared" si="33"/>
        <v>-3.3669944995062542</v>
      </c>
      <c r="H325" s="3">
        <f t="shared" si="34"/>
        <v>10.882802076220894</v>
      </c>
      <c r="I325" s="3">
        <f t="shared" ref="I325:I364" si="36">G325*1000/($C$5*$C$3^3)</f>
        <v>-3.3669944995062542</v>
      </c>
      <c r="J325" s="3">
        <f t="shared" ref="J325:J364" si="37">H325*1000/($C$5*$C$3^4)</f>
        <v>2.1765604152441789</v>
      </c>
    </row>
    <row r="326" spans="5:10" x14ac:dyDescent="0.35">
      <c r="E326" s="1">
        <f t="shared" si="32"/>
        <v>322</v>
      </c>
      <c r="F326" s="3">
        <f t="shared" si="35"/>
        <v>5.6199601914217414</v>
      </c>
      <c r="G326" s="3">
        <f t="shared" si="33"/>
        <v>-3.3861529898915408</v>
      </c>
      <c r="H326" s="3">
        <f t="shared" si="34"/>
        <v>11.041467952282028</v>
      </c>
      <c r="I326" s="3">
        <f t="shared" si="36"/>
        <v>-3.3861529898915408</v>
      </c>
      <c r="J326" s="3">
        <f t="shared" si="37"/>
        <v>2.2082935904564054</v>
      </c>
    </row>
    <row r="327" spans="5:10" x14ac:dyDescent="0.35">
      <c r="E327" s="1">
        <f t="shared" si="32"/>
        <v>323</v>
      </c>
      <c r="F327" s="3">
        <f t="shared" si="35"/>
        <v>5.6374134839416845</v>
      </c>
      <c r="G327" s="3">
        <f t="shared" si="33"/>
        <v>-3.4042800252737049</v>
      </c>
      <c r="H327" s="3">
        <f t="shared" si="34"/>
        <v>11.196770490243791</v>
      </c>
      <c r="I327" s="3">
        <f t="shared" si="36"/>
        <v>-3.4042800252737049</v>
      </c>
      <c r="J327" s="3">
        <f t="shared" si="37"/>
        <v>2.2393540980487581</v>
      </c>
    </row>
    <row r="328" spans="5:10" x14ac:dyDescent="0.35">
      <c r="E328" s="1">
        <f t="shared" si="32"/>
        <v>324</v>
      </c>
      <c r="F328" s="3">
        <f t="shared" si="35"/>
        <v>5.6548667764616276</v>
      </c>
      <c r="G328" s="3">
        <f t="shared" si="33"/>
        <v>-3.4213700839821697</v>
      </c>
      <c r="H328" s="3">
        <f t="shared" si="34"/>
        <v>11.348662383448673</v>
      </c>
      <c r="I328" s="3">
        <f t="shared" si="36"/>
        <v>-3.4213700839821697</v>
      </c>
      <c r="J328" s="3">
        <f t="shared" si="37"/>
        <v>2.2697324766897347</v>
      </c>
    </row>
    <row r="329" spans="5:10" x14ac:dyDescent="0.35">
      <c r="E329" s="1">
        <f t="shared" si="32"/>
        <v>325</v>
      </c>
      <c r="F329" s="3">
        <f t="shared" si="35"/>
        <v>5.6723200689815707</v>
      </c>
      <c r="G329" s="3">
        <f t="shared" si="33"/>
        <v>-3.4374179602194976</v>
      </c>
      <c r="H329" s="3">
        <f t="shared" si="34"/>
        <v>11.497097364154595</v>
      </c>
      <c r="I329" s="3">
        <f t="shared" si="36"/>
        <v>-3.4374179602194976</v>
      </c>
      <c r="J329" s="3">
        <f t="shared" si="37"/>
        <v>2.2994194728309192</v>
      </c>
    </row>
    <row r="330" spans="5:10" x14ac:dyDescent="0.35">
      <c r="E330" s="1">
        <f t="shared" si="32"/>
        <v>326</v>
      </c>
      <c r="F330" s="3">
        <f t="shared" si="35"/>
        <v>5.6897733615015147</v>
      </c>
      <c r="G330" s="3">
        <f t="shared" si="33"/>
        <v>-3.4524187656471272</v>
      </c>
      <c r="H330" s="3">
        <f t="shared" si="34"/>
        <v>11.64203021762852</v>
      </c>
      <c r="I330" s="3">
        <f t="shared" si="36"/>
        <v>-3.4524187656471272</v>
      </c>
      <c r="J330" s="3">
        <f t="shared" si="37"/>
        <v>2.3284060435257041</v>
      </c>
    </row>
    <row r="331" spans="5:10" x14ac:dyDescent="0.35">
      <c r="E331" s="1">
        <f t="shared" si="32"/>
        <v>327</v>
      </c>
      <c r="F331" s="3">
        <f t="shared" si="35"/>
        <v>5.7072266540214578</v>
      </c>
      <c r="G331" s="3">
        <f t="shared" si="33"/>
        <v>-3.4663679308744086</v>
      </c>
      <c r="H331" s="3">
        <f t="shared" si="34"/>
        <v>11.783416795919271</v>
      </c>
      <c r="I331" s="3">
        <f t="shared" si="36"/>
        <v>-3.4663679308744086</v>
      </c>
      <c r="J331" s="3">
        <f t="shared" si="37"/>
        <v>2.3566833591838541</v>
      </c>
    </row>
    <row r="332" spans="5:10" x14ac:dyDescent="0.35">
      <c r="E332" s="1">
        <f t="shared" si="32"/>
        <v>328</v>
      </c>
      <c r="F332" s="3">
        <f t="shared" si="35"/>
        <v>5.7246799465414009</v>
      </c>
      <c r="G332" s="3">
        <f t="shared" si="33"/>
        <v>-3.4792612068504862</v>
      </c>
      <c r="H332" s="3">
        <f t="shared" si="34"/>
        <v>11.92121403130546</v>
      </c>
      <c r="I332" s="3">
        <f t="shared" si="36"/>
        <v>-3.4792612068504862</v>
      </c>
      <c r="J332" s="3">
        <f t="shared" si="37"/>
        <v>2.3842428062610921</v>
      </c>
    </row>
    <row r="333" spans="5:10" x14ac:dyDescent="0.35">
      <c r="E333" s="1">
        <f t="shared" si="32"/>
        <v>329</v>
      </c>
      <c r="F333" s="3">
        <f t="shared" si="35"/>
        <v>5.742133239061344</v>
      </c>
      <c r="G333" s="3">
        <f t="shared" si="33"/>
        <v>-3.4910946661585962</v>
      </c>
      <c r="H333" s="3">
        <f t="shared" si="34"/>
        <v>12.055379949414323</v>
      </c>
      <c r="I333" s="3">
        <f t="shared" si="36"/>
        <v>-3.4910946661585962</v>
      </c>
      <c r="J333" s="3">
        <f t="shared" si="37"/>
        <v>2.4110759898828649</v>
      </c>
    </row>
    <row r="334" spans="5:10" x14ac:dyDescent="0.35">
      <c r="E334" s="1">
        <f t="shared" si="32"/>
        <v>330</v>
      </c>
      <c r="F334" s="3">
        <f t="shared" si="35"/>
        <v>5.7595865315812871</v>
      </c>
      <c r="G334" s="3">
        <f t="shared" si="33"/>
        <v>-3.5018647042124007</v>
      </c>
      <c r="H334" s="3">
        <f t="shared" si="34"/>
        <v>12.185873682007504</v>
      </c>
      <c r="I334" s="3">
        <f t="shared" si="36"/>
        <v>-3.5018647042124007</v>
      </c>
      <c r="J334" s="3">
        <f t="shared" si="37"/>
        <v>2.4371747364015008</v>
      </c>
    </row>
    <row r="335" spans="5:10" x14ac:dyDescent="0.35">
      <c r="E335" s="1">
        <f t="shared" si="32"/>
        <v>331</v>
      </c>
      <c r="F335" s="3">
        <f t="shared" si="35"/>
        <v>5.7770398241012311</v>
      </c>
      <c r="G335" s="3">
        <f t="shared" si="33"/>
        <v>-3.5115680403539784</v>
      </c>
      <c r="H335" s="3">
        <f t="shared" si="34"/>
        <v>12.312655479429946</v>
      </c>
      <c r="I335" s="3">
        <f t="shared" si="36"/>
        <v>-3.511568040353978</v>
      </c>
      <c r="J335" s="3">
        <f t="shared" si="37"/>
        <v>2.4625310958859892</v>
      </c>
    </row>
    <row r="336" spans="5:10" x14ac:dyDescent="0.35">
      <c r="E336" s="1">
        <f t="shared" si="32"/>
        <v>332</v>
      </c>
      <c r="F336" s="3">
        <f t="shared" si="35"/>
        <v>5.7944931166211742</v>
      </c>
      <c r="G336" s="3">
        <f t="shared" si="33"/>
        <v>-3.5202017188531389</v>
      </c>
      <c r="H336" s="3">
        <f t="shared" si="34"/>
        <v>12.435686722717969</v>
      </c>
      <c r="I336" s="3">
        <f t="shared" si="36"/>
        <v>-3.5202017188531389</v>
      </c>
      <c r="J336" s="3">
        <f t="shared" si="37"/>
        <v>2.4871373445435938</v>
      </c>
    </row>
    <row r="337" spans="5:10" x14ac:dyDescent="0.35">
      <c r="E337" s="1">
        <f t="shared" si="32"/>
        <v>333</v>
      </c>
      <c r="F337" s="3">
        <f t="shared" si="35"/>
        <v>5.8119464091411173</v>
      </c>
      <c r="G337" s="3">
        <f t="shared" si="33"/>
        <v>-3.5277631098077782</v>
      </c>
      <c r="H337" s="3">
        <f t="shared" si="34"/>
        <v>12.554929935363056</v>
      </c>
      <c r="I337" s="3">
        <f t="shared" si="36"/>
        <v>-3.5277631098077782</v>
      </c>
      <c r="J337" s="3">
        <f t="shared" si="37"/>
        <v>2.510985987072611</v>
      </c>
    </row>
    <row r="338" spans="5:10" x14ac:dyDescent="0.35">
      <c r="E338" s="1">
        <f t="shared" si="32"/>
        <v>334</v>
      </c>
      <c r="F338" s="3">
        <f t="shared" si="35"/>
        <v>5.8293997016610604</v>
      </c>
      <c r="G338" s="3">
        <f t="shared" si="33"/>
        <v>-3.5342499099449616</v>
      </c>
      <c r="H338" s="3">
        <f t="shared" si="34"/>
        <v>12.670348794727493</v>
      </c>
      <c r="I338" s="3">
        <f t="shared" si="36"/>
        <v>-3.5342499099449616</v>
      </c>
      <c r="J338" s="3">
        <f t="shared" si="37"/>
        <v>2.5340697589454986</v>
      </c>
    </row>
    <row r="339" spans="5:10" x14ac:dyDescent="0.35">
      <c r="E339" s="1">
        <f t="shared" si="32"/>
        <v>335</v>
      </c>
      <c r="F339" s="3">
        <f t="shared" si="35"/>
        <v>5.8468529941810043</v>
      </c>
      <c r="G339" s="3">
        <f t="shared" si="33"/>
        <v>-3.5396601433225277</v>
      </c>
      <c r="H339" s="3">
        <f t="shared" si="34"/>
        <v>12.781908143108636</v>
      </c>
      <c r="I339" s="3">
        <f t="shared" si="36"/>
        <v>-3.5396601433225277</v>
      </c>
      <c r="J339" s="3">
        <f t="shared" si="37"/>
        <v>2.5563816286217271</v>
      </c>
    </row>
    <row r="340" spans="5:10" x14ac:dyDescent="0.35">
      <c r="E340" s="1">
        <f t="shared" si="32"/>
        <v>336</v>
      </c>
      <c r="F340" s="3">
        <f t="shared" si="35"/>
        <v>5.8643062867009474</v>
      </c>
      <c r="G340" s="3">
        <f t="shared" si="33"/>
        <v>-3.5439921619309809</v>
      </c>
      <c r="H340" s="3">
        <f t="shared" si="34"/>
        <v>12.88957399844826</v>
      </c>
      <c r="I340" s="3">
        <f t="shared" si="36"/>
        <v>-3.5439921619309809</v>
      </c>
      <c r="J340" s="3">
        <f t="shared" si="37"/>
        <v>2.5779147996896516</v>
      </c>
    </row>
    <row r="341" spans="5:10" x14ac:dyDescent="0.35">
      <c r="E341" s="1">
        <f t="shared" si="32"/>
        <v>337</v>
      </c>
      <c r="F341" s="3">
        <f t="shared" si="35"/>
        <v>5.8817595792208905</v>
      </c>
      <c r="G341" s="3">
        <f t="shared" si="33"/>
        <v>-3.5472446461954856</v>
      </c>
      <c r="H341" s="3">
        <f t="shared" si="34"/>
        <v>12.993313564683847</v>
      </c>
      <c r="I341" s="3">
        <f t="shared" si="36"/>
        <v>-3.5472446461954856</v>
      </c>
      <c r="J341" s="3">
        <f t="shared" si="37"/>
        <v>2.5986627129367696</v>
      </c>
    </row>
    <row r="342" spans="5:10" x14ac:dyDescent="0.35">
      <c r="E342" s="1">
        <f t="shared" si="32"/>
        <v>338</v>
      </c>
      <c r="F342" s="3">
        <f t="shared" si="35"/>
        <v>5.8992128717408336</v>
      </c>
      <c r="G342" s="3">
        <f t="shared" si="33"/>
        <v>-3.5494166053778295</v>
      </c>
      <c r="H342" s="3">
        <f t="shared" si="34"/>
        <v>13.093095241738578</v>
      </c>
      <c r="I342" s="3">
        <f t="shared" si="36"/>
        <v>-3.5494166053778295</v>
      </c>
      <c r="J342" s="3">
        <f t="shared" si="37"/>
        <v>2.6186190483477154</v>
      </c>
    </row>
    <row r="343" spans="5:10" x14ac:dyDescent="0.35">
      <c r="E343" s="1">
        <f t="shared" si="32"/>
        <v>339</v>
      </c>
      <c r="F343" s="3">
        <f t="shared" si="35"/>
        <v>5.9166661642607767</v>
      </c>
      <c r="G343" s="3">
        <f t="shared" si="33"/>
        <v>-3.5505073778782039</v>
      </c>
      <c r="H343" s="3">
        <f t="shared" si="34"/>
        <v>13.188888635147011</v>
      </c>
      <c r="I343" s="3">
        <f t="shared" si="36"/>
        <v>-3.5505073778782039</v>
      </c>
      <c r="J343" s="3">
        <f t="shared" si="37"/>
        <v>2.6377777270294018</v>
      </c>
    </row>
    <row r="344" spans="5:10" x14ac:dyDescent="0.35">
      <c r="E344" s="1">
        <f t="shared" si="32"/>
        <v>340</v>
      </c>
      <c r="F344" s="3">
        <f t="shared" si="35"/>
        <v>5.9341194567807207</v>
      </c>
      <c r="G344" s="3">
        <f t="shared" si="33"/>
        <v>-3.5505166314367398</v>
      </c>
      <c r="H344" s="3">
        <f t="shared" si="34"/>
        <v>13.280664565313552</v>
      </c>
      <c r="I344" s="3">
        <f t="shared" si="36"/>
        <v>-3.5505166314367398</v>
      </c>
      <c r="J344" s="3">
        <f t="shared" si="37"/>
        <v>2.6561329130627107</v>
      </c>
    </row>
    <row r="345" spans="5:10" x14ac:dyDescent="0.35">
      <c r="E345" s="1">
        <f t="shared" si="32"/>
        <v>341</v>
      </c>
      <c r="F345" s="3">
        <f t="shared" si="35"/>
        <v>5.9515727493006638</v>
      </c>
      <c r="G345" s="3">
        <f t="shared" si="33"/>
        <v>-3.5494443632347132</v>
      </c>
      <c r="H345" s="3">
        <f t="shared" si="34"/>
        <v>13.368395076400809</v>
      </c>
      <c r="I345" s="3">
        <f t="shared" si="36"/>
        <v>-3.5494443632347132</v>
      </c>
      <c r="J345" s="3">
        <f t="shared" si="37"/>
        <v>2.6736790152801619</v>
      </c>
    </row>
    <row r="346" spans="5:10" x14ac:dyDescent="0.35">
      <c r="E346" s="1">
        <f t="shared" si="32"/>
        <v>342</v>
      </c>
      <c r="F346" s="3">
        <f t="shared" si="35"/>
        <v>5.9690260418206069</v>
      </c>
      <c r="G346" s="3">
        <f t="shared" si="33"/>
        <v>-3.5472908998954056</v>
      </c>
      <c r="H346" s="3">
        <f t="shared" si="34"/>
        <v>13.452053444845243</v>
      </c>
      <c r="I346" s="3">
        <f t="shared" si="36"/>
        <v>-3.5472908998954056</v>
      </c>
      <c r="J346" s="3">
        <f t="shared" si="37"/>
        <v>2.6904106889690489</v>
      </c>
    </row>
    <row r="347" spans="5:10" x14ac:dyDescent="0.35">
      <c r="E347" s="1">
        <f t="shared" si="32"/>
        <v>343</v>
      </c>
      <c r="F347" s="3">
        <f t="shared" si="35"/>
        <v>5.98647933434055</v>
      </c>
      <c r="G347" s="3">
        <f t="shared" si="33"/>
        <v>-3.5440568973846109</v>
      </c>
      <c r="H347" s="3">
        <f t="shared" si="34"/>
        <v>13.531614187497405</v>
      </c>
      <c r="I347" s="3">
        <f t="shared" si="36"/>
        <v>-3.5440568973846109</v>
      </c>
      <c r="J347" s="3">
        <f t="shared" si="37"/>
        <v>2.706322837499481</v>
      </c>
    </row>
    <row r="348" spans="5:10" x14ac:dyDescent="0.35">
      <c r="E348" s="1">
        <f t="shared" si="32"/>
        <v>344</v>
      </c>
      <c r="F348" s="3">
        <f t="shared" si="35"/>
        <v>6.003932626860494</v>
      </c>
      <c r="G348" s="3">
        <f t="shared" si="33"/>
        <v>-3.5397433408108232</v>
      </c>
      <c r="H348" s="3">
        <f t="shared" si="34"/>
        <v>13.607053069384373</v>
      </c>
      <c r="I348" s="3">
        <f t="shared" si="36"/>
        <v>-3.5397433408108232</v>
      </c>
      <c r="J348" s="3">
        <f t="shared" si="37"/>
        <v>2.7214106138768743</v>
      </c>
    </row>
    <row r="349" spans="5:10" x14ac:dyDescent="0.35">
      <c r="E349" s="1">
        <f t="shared" si="32"/>
        <v>345</v>
      </c>
      <c r="F349" s="3">
        <f t="shared" si="35"/>
        <v>6.0213859193804371</v>
      </c>
      <c r="G349" s="3">
        <f t="shared" si="33"/>
        <v>-3.5343515441251609</v>
      </c>
      <c r="H349" s="3">
        <f t="shared" si="34"/>
        <v>13.67834711109192</v>
      </c>
      <c r="I349" s="3">
        <f t="shared" si="36"/>
        <v>-3.5343515441251609</v>
      </c>
      <c r="J349" s="3">
        <f t="shared" si="37"/>
        <v>2.7356694222183839</v>
      </c>
    </row>
    <row r="350" spans="5:10" x14ac:dyDescent="0.35">
      <c r="E350" s="1">
        <f t="shared" si="32"/>
        <v>346</v>
      </c>
      <c r="F350" s="3">
        <f t="shared" si="35"/>
        <v>6.0388392119003802</v>
      </c>
      <c r="G350" s="3">
        <f t="shared" si="33"/>
        <v>-3.5278831497211258</v>
      </c>
      <c r="H350" s="3">
        <f t="shared" si="34"/>
        <v>13.745474595764303</v>
      </c>
      <c r="I350" s="3">
        <f t="shared" si="36"/>
        <v>-3.5278831497211258</v>
      </c>
      <c r="J350" s="3">
        <f t="shared" si="37"/>
        <v>2.7490949191528604</v>
      </c>
    </row>
    <row r="351" spans="5:10" x14ac:dyDescent="0.35">
      <c r="E351" s="1">
        <f t="shared" si="32"/>
        <v>347</v>
      </c>
      <c r="F351" s="3">
        <f t="shared" si="35"/>
        <v>6.0562925044203233</v>
      </c>
      <c r="G351" s="3">
        <f t="shared" si="33"/>
        <v>-3.5203401279343138</v>
      </c>
      <c r="H351" s="3">
        <f t="shared" si="34"/>
        <v>13.808415075719415</v>
      </c>
      <c r="I351" s="3">
        <f t="shared" si="36"/>
        <v>-3.5203401279343138</v>
      </c>
      <c r="J351" s="3">
        <f t="shared" si="37"/>
        <v>2.7616830151438831</v>
      </c>
    </row>
    <row r="352" spans="5:10" x14ac:dyDescent="0.35">
      <c r="E352" s="1">
        <f t="shared" si="32"/>
        <v>348</v>
      </c>
      <c r="F352" s="3">
        <f t="shared" si="35"/>
        <v>6.0737457969402664</v>
      </c>
      <c r="G352" s="3">
        <f t="shared" si="33"/>
        <v>-3.5117247764422332</v>
      </c>
      <c r="H352" s="3">
        <f t="shared" si="34"/>
        <v>13.867149378677343</v>
      </c>
      <c r="I352" s="3">
        <f t="shared" si="36"/>
        <v>-3.5117247764422332</v>
      </c>
      <c r="J352" s="3">
        <f t="shared" si="37"/>
        <v>2.7734298757354687</v>
      </c>
    </row>
    <row r="353" spans="5:10" x14ac:dyDescent="0.35">
      <c r="E353" s="1">
        <f t="shared" si="32"/>
        <v>349</v>
      </c>
      <c r="F353" s="3">
        <f t="shared" si="35"/>
        <v>6.0911990894602104</v>
      </c>
      <c r="G353" s="3">
        <f t="shared" si="33"/>
        <v>-3.5020397195644053</v>
      </c>
      <c r="H353" s="3">
        <f t="shared" si="34"/>
        <v>13.921659613600434</v>
      </c>
      <c r="I353" s="3">
        <f t="shared" si="36"/>
        <v>-3.5020397195644053</v>
      </c>
      <c r="J353" s="3">
        <f t="shared" si="37"/>
        <v>2.7843319227200869</v>
      </c>
    </row>
    <row r="354" spans="5:10" x14ac:dyDescent="0.35">
      <c r="E354" s="1">
        <f t="shared" si="32"/>
        <v>350</v>
      </c>
      <c r="F354" s="3">
        <f t="shared" si="35"/>
        <v>6.1086523819801535</v>
      </c>
      <c r="G354" s="3">
        <f t="shared" si="33"/>
        <v>-3.4912879074629783</v>
      </c>
      <c r="H354" s="3">
        <f t="shared" si="34"/>
        <v>13.971929176143076</v>
      </c>
      <c r="I354" s="3">
        <f t="shared" si="36"/>
        <v>-3.4912879074629783</v>
      </c>
      <c r="J354" s="3">
        <f t="shared" si="37"/>
        <v>2.7943858352286153</v>
      </c>
    </row>
    <row r="355" spans="5:10" x14ac:dyDescent="0.35">
      <c r="E355" s="1">
        <f t="shared" si="32"/>
        <v>351</v>
      </c>
      <c r="F355" s="3">
        <f t="shared" si="35"/>
        <v>6.1261056745000966</v>
      </c>
      <c r="G355" s="3">
        <f t="shared" si="33"/>
        <v>-3.4794726152440725</v>
      </c>
      <c r="H355" s="3">
        <f t="shared" si="34"/>
        <v>14.017942753709546</v>
      </c>
      <c r="I355" s="3">
        <f t="shared" si="36"/>
        <v>-3.4794726152440725</v>
      </c>
      <c r="J355" s="3">
        <f t="shared" si="37"/>
        <v>2.8035885507419089</v>
      </c>
    </row>
    <row r="356" spans="5:10" x14ac:dyDescent="0.35">
      <c r="E356" s="1">
        <f t="shared" si="32"/>
        <v>352</v>
      </c>
      <c r="F356" s="3">
        <f t="shared" si="35"/>
        <v>6.1435589670200397</v>
      </c>
      <c r="G356" s="3">
        <f t="shared" si="33"/>
        <v>-3.4665974419601562</v>
      </c>
      <c r="H356" s="3">
        <f t="shared" si="34"/>
        <v>14.05968633011838</v>
      </c>
      <c r="I356" s="3">
        <f t="shared" si="36"/>
        <v>-3.4665974419601562</v>
      </c>
      <c r="J356" s="3">
        <f t="shared" si="37"/>
        <v>2.8119372660236759</v>
      </c>
    </row>
    <row r="357" spans="5:10" x14ac:dyDescent="0.35">
      <c r="E357" s="1">
        <f t="shared" si="32"/>
        <v>353</v>
      </c>
      <c r="F357" s="3">
        <f t="shared" si="35"/>
        <v>6.1610122595399837</v>
      </c>
      <c r="G357" s="3">
        <f t="shared" si="33"/>
        <v>-3.452666309513734</v>
      </c>
      <c r="H357" s="3">
        <f t="shared" si="34"/>
        <v>14.097147189871819</v>
      </c>
      <c r="I357" s="3">
        <f t="shared" si="36"/>
        <v>-3.452666309513734</v>
      </c>
      <c r="J357" s="3">
        <f t="shared" si="37"/>
        <v>2.8194294379743639</v>
      </c>
    </row>
    <row r="358" spans="5:10" x14ac:dyDescent="0.35">
      <c r="E358" s="1">
        <f t="shared" si="32"/>
        <v>354</v>
      </c>
      <c r="F358" s="3">
        <f t="shared" si="35"/>
        <v>6.1784655520599268</v>
      </c>
      <c r="G358" s="3">
        <f t="shared" si="33"/>
        <v>-3.4376834614627043</v>
      </c>
      <c r="H358" s="3">
        <f t="shared" si="34"/>
        <v>14.130313922029089</v>
      </c>
      <c r="I358" s="3">
        <f t="shared" si="36"/>
        <v>-3.4376834614627043</v>
      </c>
      <c r="J358" s="3">
        <f t="shared" si="37"/>
        <v>2.8260627844058179</v>
      </c>
    </row>
    <row r="359" spans="5:10" x14ac:dyDescent="0.35">
      <c r="E359" s="1">
        <f t="shared" si="32"/>
        <v>355</v>
      </c>
      <c r="F359" s="3">
        <f t="shared" si="35"/>
        <v>6.1959188445798699</v>
      </c>
      <c r="G359" s="3">
        <f t="shared" si="33"/>
        <v>-3.4216534617277272</v>
      </c>
      <c r="H359" s="3">
        <f t="shared" si="34"/>
        <v>14.159176423682286</v>
      </c>
      <c r="I359" s="3">
        <f t="shared" si="36"/>
        <v>-3.4216534617277272</v>
      </c>
      <c r="J359" s="3">
        <f t="shared" si="37"/>
        <v>2.831835284736457</v>
      </c>
    </row>
    <row r="360" spans="5:10" x14ac:dyDescent="0.35">
      <c r="E360" s="1">
        <f t="shared" si="32"/>
        <v>356</v>
      </c>
      <c r="F360" s="3">
        <f t="shared" si="35"/>
        <v>6.213372137099813</v>
      </c>
      <c r="G360" s="3">
        <f t="shared" si="33"/>
        <v>-3.4045811932020054</v>
      </c>
      <c r="H360" s="3">
        <f t="shared" si="34"/>
        <v>14.183725903033809</v>
      </c>
      <c r="I360" s="3">
        <f t="shared" si="36"/>
        <v>-3.4045811932020054</v>
      </c>
      <c r="J360" s="3">
        <f t="shared" si="37"/>
        <v>2.8367451806067616</v>
      </c>
    </row>
    <row r="361" spans="5:10" x14ac:dyDescent="0.35">
      <c r="E361" s="1">
        <f t="shared" si="32"/>
        <v>357</v>
      </c>
      <c r="F361" s="3">
        <f t="shared" si="35"/>
        <v>6.2308254296197561</v>
      </c>
      <c r="G361" s="3">
        <f t="shared" si="33"/>
        <v>-3.386471856263916</v>
      </c>
      <c r="H361" s="3">
        <f t="shared" si="34"/>
        <v>14.203954882074427</v>
      </c>
      <c r="I361" s="3">
        <f t="shared" si="36"/>
        <v>-3.386471856263916</v>
      </c>
      <c r="J361" s="3">
        <f t="shared" si="37"/>
        <v>2.8407909764148855</v>
      </c>
    </row>
    <row r="362" spans="5:10" x14ac:dyDescent="0.35">
      <c r="E362" s="1">
        <f t="shared" si="32"/>
        <v>358</v>
      </c>
      <c r="F362" s="3">
        <f t="shared" si="35"/>
        <v>6.2482787221397</v>
      </c>
      <c r="G362" s="3">
        <f t="shared" si="33"/>
        <v>-3.3673309671929181</v>
      </c>
      <c r="H362" s="3">
        <f t="shared" si="34"/>
        <v>14.219857198861167</v>
      </c>
      <c r="I362" s="3">
        <f t="shared" si="36"/>
        <v>-3.3673309671929181</v>
      </c>
      <c r="J362" s="3">
        <f t="shared" si="37"/>
        <v>2.8439714397722335</v>
      </c>
    </row>
    <row r="363" spans="5:10" x14ac:dyDescent="0.35">
      <c r="E363" s="1">
        <f t="shared" si="32"/>
        <v>359</v>
      </c>
      <c r="F363" s="3">
        <f t="shared" si="35"/>
        <v>6.2657320146596431</v>
      </c>
      <c r="G363" s="3">
        <f t="shared" si="33"/>
        <v>-3.3471643564892464</v>
      </c>
      <c r="H363" s="3">
        <f t="shared" si="34"/>
        <v>14.231428009394282</v>
      </c>
      <c r="I363" s="3">
        <f t="shared" si="36"/>
        <v>-3.3471643564892464</v>
      </c>
      <c r="J363" s="3">
        <f t="shared" si="37"/>
        <v>2.8462856018788565</v>
      </c>
    </row>
    <row r="364" spans="5:10" x14ac:dyDescent="0.35">
      <c r="E364" s="1">
        <f t="shared" si="32"/>
        <v>360</v>
      </c>
      <c r="F364" s="3">
        <f t="shared" si="35"/>
        <v>6.2831853071795862</v>
      </c>
      <c r="G364" s="3">
        <f t="shared" si="33"/>
        <v>-3.3259781670978796</v>
      </c>
      <c r="H364" s="3">
        <f t="shared" si="34"/>
        <v>14.238663789092797</v>
      </c>
      <c r="I364" s="3">
        <f t="shared" si="36"/>
        <v>-3.3259781670978796</v>
      </c>
      <c r="J364" s="3">
        <f t="shared" si="37"/>
        <v>2.8477327578185596</v>
      </c>
    </row>
    <row r="365" spans="5:10" x14ac:dyDescent="0.35">
      <c r="F365" s="3"/>
    </row>
    <row r="366" spans="5:10" x14ac:dyDescent="0.35">
      <c r="F366" s="3"/>
    </row>
    <row r="367" spans="5:10" x14ac:dyDescent="0.35">
      <c r="F367" s="3"/>
    </row>
    <row r="368" spans="5:10" x14ac:dyDescent="0.35">
      <c r="F368" s="3"/>
    </row>
    <row r="369" spans="6:6" x14ac:dyDescent="0.35">
      <c r="F369" s="3"/>
    </row>
    <row r="370" spans="6:6" x14ac:dyDescent="0.35">
      <c r="F370" s="3"/>
    </row>
    <row r="371" spans="6:6" x14ac:dyDescent="0.35">
      <c r="F371" s="3"/>
    </row>
    <row r="372" spans="6:6" x14ac:dyDescent="0.35">
      <c r="F372" s="3"/>
    </row>
    <row r="373" spans="6:6" x14ac:dyDescent="0.35">
      <c r="F373" s="3"/>
    </row>
    <row r="374" spans="6:6" x14ac:dyDescent="0.35">
      <c r="F374" s="3"/>
    </row>
    <row r="375" spans="6:6" x14ac:dyDescent="0.35">
      <c r="F375" s="3"/>
    </row>
    <row r="376" spans="6:6" x14ac:dyDescent="0.35">
      <c r="F376" s="3"/>
    </row>
    <row r="377" spans="6:6" x14ac:dyDescent="0.35">
      <c r="F377" s="3"/>
    </row>
    <row r="378" spans="6:6" x14ac:dyDescent="0.35">
      <c r="F378" s="3"/>
    </row>
    <row r="379" spans="6:6" x14ac:dyDescent="0.35">
      <c r="F379" s="3"/>
    </row>
    <row r="380" spans="6:6" x14ac:dyDescent="0.35">
      <c r="F380" s="3"/>
    </row>
    <row r="381" spans="6:6" x14ac:dyDescent="0.35">
      <c r="F381" s="3"/>
    </row>
    <row r="382" spans="6:6" x14ac:dyDescent="0.35">
      <c r="F382" s="3"/>
    </row>
    <row r="383" spans="6:6" x14ac:dyDescent="0.35">
      <c r="F383" s="3"/>
    </row>
    <row r="384" spans="6:6" x14ac:dyDescent="0.35">
      <c r="F384" s="3"/>
    </row>
    <row r="385" spans="6:6" x14ac:dyDescent="0.35">
      <c r="F385" s="3"/>
    </row>
    <row r="386" spans="6:6" x14ac:dyDescent="0.35">
      <c r="F386" s="3"/>
    </row>
    <row r="387" spans="6:6" x14ac:dyDescent="0.35">
      <c r="F387" s="3"/>
    </row>
    <row r="388" spans="6:6" x14ac:dyDescent="0.35">
      <c r="F388" s="3"/>
    </row>
    <row r="389" spans="6:6" x14ac:dyDescent="0.35">
      <c r="F389" s="3"/>
    </row>
    <row r="390" spans="6:6" x14ac:dyDescent="0.35">
      <c r="F390" s="3"/>
    </row>
    <row r="391" spans="6:6" x14ac:dyDescent="0.35">
      <c r="F391" s="3"/>
    </row>
    <row r="392" spans="6:6" x14ac:dyDescent="0.35">
      <c r="F392" s="3"/>
    </row>
    <row r="393" spans="6:6" x14ac:dyDescent="0.35">
      <c r="F393" s="3"/>
    </row>
    <row r="394" spans="6:6" x14ac:dyDescent="0.35">
      <c r="F394" s="3"/>
    </row>
    <row r="395" spans="6:6" x14ac:dyDescent="0.35">
      <c r="F395" s="3"/>
    </row>
    <row r="396" spans="6:6" x14ac:dyDescent="0.35">
      <c r="F396" s="3"/>
    </row>
    <row r="397" spans="6:6" x14ac:dyDescent="0.35">
      <c r="F397" s="3"/>
    </row>
    <row r="398" spans="6:6" x14ac:dyDescent="0.35">
      <c r="F398" s="3"/>
    </row>
    <row r="399" spans="6:6" x14ac:dyDescent="0.35">
      <c r="F399" s="3"/>
    </row>
    <row r="400" spans="6:6" x14ac:dyDescent="0.35">
      <c r="F400" s="3"/>
    </row>
    <row r="401" spans="6:6" x14ac:dyDescent="0.35">
      <c r="F401" s="3"/>
    </row>
    <row r="402" spans="6:6" x14ac:dyDescent="0.35">
      <c r="F402" s="3"/>
    </row>
    <row r="403" spans="6:6" x14ac:dyDescent="0.35">
      <c r="F403" s="3"/>
    </row>
    <row r="404" spans="6:6" x14ac:dyDescent="0.35">
      <c r="F404" s="3"/>
    </row>
    <row r="405" spans="6:6" x14ac:dyDescent="0.35">
      <c r="F405" s="3"/>
    </row>
    <row r="406" spans="6:6" x14ac:dyDescent="0.35">
      <c r="F406" s="3"/>
    </row>
    <row r="407" spans="6:6" x14ac:dyDescent="0.35">
      <c r="F407" s="3"/>
    </row>
    <row r="408" spans="6:6" x14ac:dyDescent="0.35">
      <c r="F408" s="3"/>
    </row>
    <row r="409" spans="6:6" x14ac:dyDescent="0.35">
      <c r="F409" s="3"/>
    </row>
    <row r="410" spans="6:6" x14ac:dyDescent="0.35">
      <c r="F410" s="3"/>
    </row>
    <row r="411" spans="6:6" x14ac:dyDescent="0.35">
      <c r="F411" s="3"/>
    </row>
    <row r="412" spans="6:6" x14ac:dyDescent="0.35">
      <c r="F412" s="3"/>
    </row>
    <row r="413" spans="6:6" x14ac:dyDescent="0.35">
      <c r="F413" s="3"/>
    </row>
    <row r="414" spans="6:6" x14ac:dyDescent="0.35">
      <c r="F414" s="3"/>
    </row>
    <row r="415" spans="6:6" x14ac:dyDescent="0.35">
      <c r="F415" s="3"/>
    </row>
    <row r="416" spans="6:6" x14ac:dyDescent="0.35">
      <c r="F416" s="3"/>
    </row>
    <row r="417" spans="6:6" x14ac:dyDescent="0.35">
      <c r="F417" s="3"/>
    </row>
    <row r="418" spans="6:6" x14ac:dyDescent="0.35">
      <c r="F418" s="3"/>
    </row>
    <row r="419" spans="6:6" x14ac:dyDescent="0.35">
      <c r="F419" s="3"/>
    </row>
    <row r="420" spans="6:6" x14ac:dyDescent="0.35">
      <c r="F420" s="3"/>
    </row>
    <row r="421" spans="6:6" x14ac:dyDescent="0.35">
      <c r="F421" s="3"/>
    </row>
    <row r="422" spans="6:6" x14ac:dyDescent="0.35">
      <c r="F422" s="3"/>
    </row>
    <row r="423" spans="6:6" x14ac:dyDescent="0.35">
      <c r="F423" s="3"/>
    </row>
    <row r="424" spans="6:6" x14ac:dyDescent="0.35">
      <c r="F424" s="3"/>
    </row>
    <row r="425" spans="6:6" x14ac:dyDescent="0.35">
      <c r="F425" s="3"/>
    </row>
    <row r="426" spans="6:6" x14ac:dyDescent="0.35">
      <c r="F426" s="3"/>
    </row>
    <row r="427" spans="6:6" x14ac:dyDescent="0.35">
      <c r="F427" s="3"/>
    </row>
    <row r="428" spans="6:6" x14ac:dyDescent="0.35">
      <c r="F428" s="3"/>
    </row>
    <row r="429" spans="6:6" x14ac:dyDescent="0.35">
      <c r="F429" s="3"/>
    </row>
    <row r="430" spans="6:6" x14ac:dyDescent="0.35">
      <c r="F430" s="3"/>
    </row>
    <row r="431" spans="6:6" x14ac:dyDescent="0.35">
      <c r="F431" s="3"/>
    </row>
    <row r="432" spans="6:6" x14ac:dyDescent="0.35">
      <c r="F432" s="3"/>
    </row>
    <row r="433" spans="6:6" x14ac:dyDescent="0.35">
      <c r="F433" s="3"/>
    </row>
    <row r="434" spans="6:6" x14ac:dyDescent="0.35">
      <c r="F434" s="3"/>
    </row>
    <row r="435" spans="6:6" x14ac:dyDescent="0.35">
      <c r="F435" s="3"/>
    </row>
    <row r="436" spans="6:6" x14ac:dyDescent="0.35">
      <c r="F436" s="3"/>
    </row>
    <row r="437" spans="6:6" x14ac:dyDescent="0.35">
      <c r="F437" s="3"/>
    </row>
    <row r="438" spans="6:6" x14ac:dyDescent="0.35">
      <c r="F438" s="3"/>
    </row>
    <row r="439" spans="6:6" x14ac:dyDescent="0.35">
      <c r="F439" s="3"/>
    </row>
    <row r="440" spans="6:6" x14ac:dyDescent="0.35">
      <c r="F440" s="3"/>
    </row>
    <row r="441" spans="6:6" x14ac:dyDescent="0.35">
      <c r="F441" s="3"/>
    </row>
    <row r="442" spans="6:6" x14ac:dyDescent="0.35">
      <c r="F442" s="3"/>
    </row>
    <row r="443" spans="6:6" x14ac:dyDescent="0.35">
      <c r="F443" s="3"/>
    </row>
    <row r="444" spans="6:6" x14ac:dyDescent="0.35">
      <c r="F444" s="3"/>
    </row>
    <row r="445" spans="6:6" x14ac:dyDescent="0.35">
      <c r="F445" s="3"/>
    </row>
    <row r="446" spans="6:6" x14ac:dyDescent="0.35">
      <c r="F446" s="3"/>
    </row>
    <row r="447" spans="6:6" x14ac:dyDescent="0.35">
      <c r="F447" s="3"/>
    </row>
    <row r="448" spans="6:6" x14ac:dyDescent="0.35">
      <c r="F448" s="3"/>
    </row>
    <row r="449" spans="6:6" x14ac:dyDescent="0.35">
      <c r="F449" s="3"/>
    </row>
    <row r="450" spans="6:6" x14ac:dyDescent="0.35">
      <c r="F450" s="3"/>
    </row>
    <row r="451" spans="6:6" x14ac:dyDescent="0.35">
      <c r="F451" s="3"/>
    </row>
    <row r="452" spans="6:6" x14ac:dyDescent="0.35">
      <c r="F452" s="3"/>
    </row>
    <row r="453" spans="6:6" x14ac:dyDescent="0.35">
      <c r="F453" s="3"/>
    </row>
    <row r="454" spans="6:6" x14ac:dyDescent="0.35">
      <c r="F454" s="3"/>
    </row>
    <row r="455" spans="6:6" x14ac:dyDescent="0.35">
      <c r="F455" s="3"/>
    </row>
    <row r="456" spans="6:6" x14ac:dyDescent="0.35">
      <c r="F456" s="3"/>
    </row>
    <row r="457" spans="6:6" x14ac:dyDescent="0.35">
      <c r="F457" s="3"/>
    </row>
    <row r="458" spans="6:6" x14ac:dyDescent="0.35">
      <c r="F458" s="3"/>
    </row>
    <row r="459" spans="6:6" x14ac:dyDescent="0.35">
      <c r="F459" s="3"/>
    </row>
    <row r="460" spans="6:6" x14ac:dyDescent="0.35">
      <c r="F460" s="3"/>
    </row>
    <row r="461" spans="6:6" x14ac:dyDescent="0.35">
      <c r="F461" s="3"/>
    </row>
    <row r="462" spans="6:6" x14ac:dyDescent="0.35">
      <c r="F462" s="3"/>
    </row>
    <row r="463" spans="6:6" x14ac:dyDescent="0.35">
      <c r="F463" s="3"/>
    </row>
    <row r="464" spans="6:6" x14ac:dyDescent="0.35">
      <c r="F464" s="3"/>
    </row>
    <row r="465" spans="6:6" x14ac:dyDescent="0.35">
      <c r="F465" s="3"/>
    </row>
    <row r="466" spans="6:6" x14ac:dyDescent="0.35">
      <c r="F466" s="3"/>
    </row>
    <row r="467" spans="6:6" x14ac:dyDescent="0.35">
      <c r="F467" s="3"/>
    </row>
    <row r="468" spans="6:6" x14ac:dyDescent="0.35">
      <c r="F468" s="3"/>
    </row>
    <row r="469" spans="6:6" x14ac:dyDescent="0.35">
      <c r="F469" s="3"/>
    </row>
    <row r="470" spans="6:6" x14ac:dyDescent="0.35">
      <c r="F470" s="3"/>
    </row>
    <row r="471" spans="6:6" x14ac:dyDescent="0.35">
      <c r="F471" s="3"/>
    </row>
    <row r="472" spans="6:6" x14ac:dyDescent="0.35">
      <c r="F472" s="3"/>
    </row>
    <row r="473" spans="6:6" x14ac:dyDescent="0.35">
      <c r="F473" s="3"/>
    </row>
    <row r="474" spans="6:6" x14ac:dyDescent="0.35">
      <c r="F474" s="3"/>
    </row>
    <row r="475" spans="6:6" x14ac:dyDescent="0.35">
      <c r="F475" s="3"/>
    </row>
    <row r="476" spans="6:6" x14ac:dyDescent="0.35">
      <c r="F476" s="3"/>
    </row>
    <row r="477" spans="6:6" x14ac:dyDescent="0.35">
      <c r="F477" s="3"/>
    </row>
    <row r="478" spans="6:6" x14ac:dyDescent="0.35">
      <c r="F478" s="3"/>
    </row>
    <row r="479" spans="6:6" x14ac:dyDescent="0.35">
      <c r="F479" s="3"/>
    </row>
    <row r="480" spans="6:6" x14ac:dyDescent="0.35">
      <c r="F480" s="3"/>
    </row>
    <row r="481" spans="6:6" x14ac:dyDescent="0.35">
      <c r="F481" s="3"/>
    </row>
    <row r="482" spans="6:6" x14ac:dyDescent="0.35">
      <c r="F482" s="3"/>
    </row>
    <row r="483" spans="6:6" x14ac:dyDescent="0.35">
      <c r="F483" s="3"/>
    </row>
    <row r="484" spans="6:6" x14ac:dyDescent="0.35">
      <c r="F484" s="3"/>
    </row>
    <row r="485" spans="6:6" x14ac:dyDescent="0.35">
      <c r="F485" s="3"/>
    </row>
    <row r="486" spans="6:6" x14ac:dyDescent="0.35">
      <c r="F486" s="3"/>
    </row>
    <row r="487" spans="6:6" x14ac:dyDescent="0.35">
      <c r="F487" s="3"/>
    </row>
    <row r="488" spans="6:6" x14ac:dyDescent="0.35">
      <c r="F488" s="3"/>
    </row>
    <row r="489" spans="6:6" x14ac:dyDescent="0.35">
      <c r="F489" s="3"/>
    </row>
    <row r="490" spans="6:6" x14ac:dyDescent="0.35">
      <c r="F490" s="3"/>
    </row>
    <row r="491" spans="6:6" x14ac:dyDescent="0.35">
      <c r="F491" s="3"/>
    </row>
    <row r="492" spans="6:6" x14ac:dyDescent="0.35">
      <c r="F492" s="3"/>
    </row>
    <row r="493" spans="6:6" x14ac:dyDescent="0.35">
      <c r="F493" s="3"/>
    </row>
    <row r="494" spans="6:6" x14ac:dyDescent="0.35">
      <c r="F494" s="3"/>
    </row>
    <row r="495" spans="6:6" x14ac:dyDescent="0.35">
      <c r="F495" s="3"/>
    </row>
    <row r="496" spans="6:6" x14ac:dyDescent="0.35">
      <c r="F496" s="3"/>
    </row>
    <row r="497" spans="6:6" x14ac:dyDescent="0.35">
      <c r="F497" s="3"/>
    </row>
    <row r="498" spans="6:6" x14ac:dyDescent="0.35">
      <c r="F498" s="3"/>
    </row>
    <row r="499" spans="6:6" x14ac:dyDescent="0.35">
      <c r="F499" s="3"/>
    </row>
    <row r="500" spans="6:6" x14ac:dyDescent="0.35">
      <c r="F500" s="3"/>
    </row>
    <row r="501" spans="6:6" x14ac:dyDescent="0.35">
      <c r="F501" s="3"/>
    </row>
    <row r="502" spans="6:6" x14ac:dyDescent="0.35">
      <c r="F502" s="3"/>
    </row>
    <row r="503" spans="6:6" x14ac:dyDescent="0.35">
      <c r="F503" s="3"/>
    </row>
    <row r="504" spans="6:6" x14ac:dyDescent="0.35">
      <c r="F504" s="3"/>
    </row>
    <row r="505" spans="6:6" x14ac:dyDescent="0.35">
      <c r="F505" s="3"/>
    </row>
    <row r="506" spans="6:6" x14ac:dyDescent="0.35">
      <c r="F506" s="3"/>
    </row>
    <row r="507" spans="6:6" x14ac:dyDescent="0.35">
      <c r="F507" s="3"/>
    </row>
    <row r="508" spans="6:6" x14ac:dyDescent="0.35">
      <c r="F508" s="3"/>
    </row>
    <row r="509" spans="6:6" x14ac:dyDescent="0.35">
      <c r="F509" s="3"/>
    </row>
    <row r="510" spans="6:6" x14ac:dyDescent="0.35">
      <c r="F510" s="3"/>
    </row>
    <row r="511" spans="6:6" x14ac:dyDescent="0.35">
      <c r="F511" s="3"/>
    </row>
    <row r="512" spans="6:6" x14ac:dyDescent="0.35">
      <c r="F512" s="3"/>
    </row>
    <row r="513" spans="6:6" x14ac:dyDescent="0.35">
      <c r="F513" s="3"/>
    </row>
    <row r="514" spans="6:6" x14ac:dyDescent="0.35">
      <c r="F514" s="3"/>
    </row>
    <row r="515" spans="6:6" x14ac:dyDescent="0.35">
      <c r="F515" s="3"/>
    </row>
    <row r="516" spans="6:6" x14ac:dyDescent="0.35">
      <c r="F516" s="3"/>
    </row>
    <row r="517" spans="6:6" x14ac:dyDescent="0.35">
      <c r="F517" s="3"/>
    </row>
    <row r="518" spans="6:6" x14ac:dyDescent="0.35">
      <c r="F518" s="3"/>
    </row>
    <row r="519" spans="6:6" x14ac:dyDescent="0.35">
      <c r="F519" s="3"/>
    </row>
    <row r="520" spans="6:6" x14ac:dyDescent="0.35">
      <c r="F520" s="3"/>
    </row>
    <row r="521" spans="6:6" x14ac:dyDescent="0.35">
      <c r="F521" s="3"/>
    </row>
    <row r="522" spans="6:6" x14ac:dyDescent="0.35">
      <c r="F522" s="3"/>
    </row>
    <row r="523" spans="6:6" x14ac:dyDescent="0.35">
      <c r="F523" s="3"/>
    </row>
    <row r="524" spans="6:6" x14ac:dyDescent="0.35">
      <c r="F524" s="3"/>
    </row>
    <row r="525" spans="6:6" x14ac:dyDescent="0.35">
      <c r="F525" s="3"/>
    </row>
    <row r="526" spans="6:6" x14ac:dyDescent="0.35">
      <c r="F526" s="3"/>
    </row>
    <row r="527" spans="6:6" x14ac:dyDescent="0.35">
      <c r="F527" s="3"/>
    </row>
    <row r="528" spans="6:6" x14ac:dyDescent="0.35">
      <c r="F528" s="3"/>
    </row>
    <row r="529" spans="6:6" x14ac:dyDescent="0.35">
      <c r="F529" s="3"/>
    </row>
    <row r="530" spans="6:6" x14ac:dyDescent="0.35">
      <c r="F530" s="3"/>
    </row>
    <row r="531" spans="6:6" x14ac:dyDescent="0.35">
      <c r="F531" s="3"/>
    </row>
    <row r="532" spans="6:6" x14ac:dyDescent="0.35">
      <c r="F532" s="3"/>
    </row>
    <row r="533" spans="6:6" x14ac:dyDescent="0.35">
      <c r="F533" s="3"/>
    </row>
    <row r="534" spans="6:6" x14ac:dyDescent="0.35">
      <c r="F534" s="3"/>
    </row>
    <row r="535" spans="6:6" x14ac:dyDescent="0.35">
      <c r="F535" s="3"/>
    </row>
    <row r="536" spans="6:6" x14ac:dyDescent="0.35">
      <c r="F536" s="3"/>
    </row>
    <row r="537" spans="6:6" x14ac:dyDescent="0.35">
      <c r="F537" s="3"/>
    </row>
    <row r="538" spans="6:6" x14ac:dyDescent="0.35">
      <c r="F538" s="3"/>
    </row>
    <row r="539" spans="6:6" x14ac:dyDescent="0.35">
      <c r="F539" s="3"/>
    </row>
    <row r="540" spans="6:6" x14ac:dyDescent="0.35">
      <c r="F540" s="3"/>
    </row>
    <row r="541" spans="6:6" x14ac:dyDescent="0.35">
      <c r="F541" s="3"/>
    </row>
    <row r="542" spans="6:6" x14ac:dyDescent="0.35">
      <c r="F542" s="3"/>
    </row>
    <row r="543" spans="6:6" x14ac:dyDescent="0.35">
      <c r="F543" s="3"/>
    </row>
    <row r="544" spans="6:6" x14ac:dyDescent="0.35">
      <c r="F544" s="3"/>
    </row>
    <row r="545" spans="6:6" x14ac:dyDescent="0.35">
      <c r="F545" s="3"/>
    </row>
    <row r="546" spans="6:6" x14ac:dyDescent="0.35">
      <c r="F546" s="3"/>
    </row>
    <row r="547" spans="6:6" x14ac:dyDescent="0.35">
      <c r="F547" s="3"/>
    </row>
    <row r="548" spans="6:6" x14ac:dyDescent="0.35">
      <c r="F548" s="3"/>
    </row>
    <row r="549" spans="6:6" x14ac:dyDescent="0.35">
      <c r="F549" s="3"/>
    </row>
    <row r="550" spans="6:6" x14ac:dyDescent="0.35">
      <c r="F550" s="3"/>
    </row>
    <row r="551" spans="6:6" x14ac:dyDescent="0.35">
      <c r="F551" s="3"/>
    </row>
    <row r="552" spans="6:6" x14ac:dyDescent="0.35">
      <c r="F552" s="3"/>
    </row>
    <row r="553" spans="6:6" x14ac:dyDescent="0.35">
      <c r="F553" s="3"/>
    </row>
    <row r="554" spans="6:6" x14ac:dyDescent="0.35">
      <c r="F554" s="3"/>
    </row>
    <row r="555" spans="6:6" x14ac:dyDescent="0.35">
      <c r="F555" s="3"/>
    </row>
    <row r="556" spans="6:6" x14ac:dyDescent="0.35">
      <c r="F556" s="3"/>
    </row>
    <row r="557" spans="6:6" x14ac:dyDescent="0.35">
      <c r="F557" s="3"/>
    </row>
    <row r="558" spans="6:6" x14ac:dyDescent="0.35">
      <c r="F558" s="3"/>
    </row>
    <row r="559" spans="6:6" x14ac:dyDescent="0.35">
      <c r="F559" s="3"/>
    </row>
    <row r="560" spans="6:6" x14ac:dyDescent="0.35">
      <c r="F560" s="3"/>
    </row>
    <row r="561" spans="6:6" x14ac:dyDescent="0.35">
      <c r="F561" s="3"/>
    </row>
    <row r="562" spans="6:6" x14ac:dyDescent="0.35">
      <c r="F562" s="3"/>
    </row>
    <row r="563" spans="6:6" x14ac:dyDescent="0.35">
      <c r="F563" s="3"/>
    </row>
    <row r="564" spans="6:6" x14ac:dyDescent="0.35">
      <c r="F564" s="3"/>
    </row>
    <row r="565" spans="6:6" x14ac:dyDescent="0.35">
      <c r="F565" s="3"/>
    </row>
    <row r="566" spans="6:6" x14ac:dyDescent="0.35">
      <c r="F566" s="3"/>
    </row>
    <row r="567" spans="6:6" x14ac:dyDescent="0.35">
      <c r="F567" s="3"/>
    </row>
  </sheetData>
  <mergeCells count="3">
    <mergeCell ref="B2:C2"/>
    <mergeCell ref="A25:A26"/>
    <mergeCell ref="A23:A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Failure surface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Raffaele Cesaro</dc:creator>
  <cp:lastModifiedBy>Raffaele Cesaro</cp:lastModifiedBy>
  <dcterms:created xsi:type="dcterms:W3CDTF">2015-06-05T18:17:20Z</dcterms:created>
  <dcterms:modified xsi:type="dcterms:W3CDTF">2026-05-14T12:29:45Z</dcterms:modified>
</cp:coreProperties>
</file>